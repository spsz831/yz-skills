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1"
    Type="http://schemas.openxmlformats.org/officeDocument/2006/relationships/officeDocument"
   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人物主表" sheetId="1" r:id="rId1"/>
    <sheet name="言论库" sheetId="2" r:id="rId4"/>
  </sheets>
  <definedNames>
    <definedName name="PersonNames">人物主表!$B$3:$B$85</definedName>
  </definedNames>
  <calcPr calcId="191029"/>
</workbook>
</file>

<file path=xl/sharedStrings.xml><?xml version="1.0" encoding="utf-8"?>
<sst xmlns="http://schemas.openxmlformats.org/spreadsheetml/2006/main" count="1101" uniqueCount="734">
  <si>
    <t>AI 人物追踪表(2026-09)</t>
  </si>
  <si>
    <t>序号</t>
  </si>
  <si>
    <t>姓名</t>
  </si>
  <si>
    <t>外号/昵称</t>
  </si>
  <si>
    <t>英文名</t>
  </si>
  <si>
    <t>机构与职位</t>
  </si>
  <si>
    <t>圈层</t>
  </si>
  <si>
    <t>国别</t>
  </si>
  <si>
    <t>观点立场</t>
  </si>
  <si>
    <t>立场变化</t>
  </si>
  <si>
    <t>代表事件</t>
  </si>
  <si>
    <t>发声渠道</t>
  </si>
  <si>
    <t>关注优先级</t>
  </si>
  <si>
    <t>言论数</t>
  </si>
  <si>
    <t>备注</t>
  </si>
  <si>
    <t>奥特曼</t>
  </si>
  <si>
    <t>Sam Altman</t>
  </si>
  <si>
    <t>OpenAI CEO</t>
  </si>
  <si>
    <t>AI领军</t>
  </si>
  <si>
    <t>海外</t>
  </si>
  <si>
    <t>AGI加速+监管叙事并行</t>
  </si>
  <si>
    <t>2023谨慎叙事→2025《温和奇点》乐观加速</t>
  </si>
  <si>
    <t>2023.11被董事会解雇,5天后回归</t>
  </si>
  <si>
    <t>X @sama;博客 samaltman.com</t>
  </si>
  <si>
    <t>高</t>
  </si>
  <si>
    <t>马斯克</t>
  </si>
  <si>
    <t>Elon Musk</t>
  </si>
  <si>
    <t>xAI创始人;Tesla/SpaceX CEO</t>
  </si>
  <si>
    <t>风险警告+开源加速并行</t>
  </si>
  <si>
    <t>2015联创OpenAI→2018退出→2024起诉OpenAI</t>
  </si>
  <si>
    <t>xAI Grok;2024起诉OpenAI违背使命</t>
  </si>
  <si>
    <t>X @elonmusk</t>
  </si>
  <si>
    <t>阿莫迪</t>
  </si>
  <si>
    <t>Dario Amodei</t>
  </si>
  <si>
    <t>Anthropic CEO</t>
  </si>
  <si>
    <t>安全派:强AI或2026-2027到来</t>
  </si>
  <si>
    <t>2021带团队离开OpenAI创立Anthropic</t>
  </si>
  <si>
    <t>《Machines of Loving Grace》技术乐观路线图</t>
  </si>
  <si>
    <t>X @DarioAmodei;官网长文</t>
  </si>
  <si>
    <t>哈萨比斯</t>
  </si>
  <si>
    <t>Demis Hassabis</t>
  </si>
  <si>
    <t>Google DeepMind CEO</t>
  </si>
  <si>
    <t>谨慎推进:AGI或2030前后</t>
  </si>
  <si>
    <t>AlphaGo→AlphaFold→诺奖</t>
  </si>
  <si>
    <t>2024诺贝尔化学奖(AlphaFold)</t>
  </si>
  <si>
    <t>X @DemisHassabis</t>
  </si>
  <si>
    <t>苏茨克维</t>
  </si>
  <si>
    <t>Ilya Sutskever</t>
  </si>
  <si>
    <t>SSI(安全超级智能)创始人</t>
  </si>
  <si>
    <t>安全优先:先对齐后加速</t>
  </si>
  <si>
    <t>2023参与罢免奥特曼→2024离开→创立SSI</t>
  </si>
  <si>
    <t>NeurIPS 2024「预训练时代将终结」</t>
  </si>
  <si>
    <t>X @ilyasut</t>
  </si>
  <si>
    <t>卡帕西</t>
  </si>
  <si>
    <t>Andrej Karpathy</t>
  </si>
  <si>
    <t>Eureka Labs创始人;前Tesla AI总监</t>
  </si>
  <si>
    <t>技术大神</t>
  </si>
  <si>
    <t>教育实用派</t>
  </si>
  <si>
    <t>OpenAI创始成员→Tesla→AI教育创业</t>
  </si>
  <si>
    <t>「LLM OS」概念;Eureka Labs</t>
  </si>
  <si>
    <t>X @karpathy;YouTube/博客</t>
  </si>
  <si>
    <t>杨立昆</t>
  </si>
  <si>
    <t>Yann LeCun</t>
  </si>
  <si>
    <t>Meta首席AI科学家</t>
  </si>
  <si>
    <t>反末日论+开源派</t>
  </si>
  <si>
    <t>2023-2024持续炮轰LLM路线</t>
  </si>
  <si>
    <t>2018图灵奖;公开论战AI末日论</t>
  </si>
  <si>
    <t>X @ylecun</t>
  </si>
  <si>
    <t>辛顿</t>
  </si>
  <si>
    <t>Geoffrey Hinton</t>
  </si>
  <si>
    <t>多伦多大学;前Google</t>
  </si>
  <si>
    <t>风险警告派:AI或失控</t>
  </si>
  <si>
    <t>2023从Google离职以自由发声</t>
  </si>
  <si>
    <t>2024诺贝尔物理学奖</t>
  </si>
  <si>
    <t>X @geoffreyhinton;访谈为主</t>
  </si>
  <si>
    <t>灭绝概率说法多变体,引用前核实</t>
  </si>
  <si>
    <t>本吉奥</t>
  </si>
  <si>
    <t>Yoshua Bengio</t>
  </si>
  <si>
    <t>Mila创始人;蒙特利尔大学</t>
  </si>
  <si>
    <t>安全派:国际监管</t>
  </si>
  <si>
    <t>2018图灵奖→重心转向AI安全</t>
  </si>
  <si>
    <t>2024主导《国际AI安全报告》</t>
  </si>
  <si>
    <t>X @YoshuaBengio;Mila官网</t>
  </si>
  <si>
    <t>中</t>
  </si>
  <si>
    <t>李飞飞</t>
  </si>
  <si>
    <t>Fei-Fei Li</t>
  </si>
  <si>
    <t>斯坦福;World Labs创始人</t>
  </si>
  <si>
    <t>学者</t>
  </si>
  <si>
    <t>空间智能+务实</t>
  </si>
  <si>
    <t>ImageNet→空间智能创业</t>
  </si>
  <si>
    <t>ImageNet之母;2024创立World Labs</t>
  </si>
  <si>
    <t>X @drfeifei</t>
  </si>
  <si>
    <t>吴恩达</t>
  </si>
  <si>
    <t>Andrew Ng</t>
  </si>
  <si>
    <t>DeepLearning.AI创始人;斯坦福</t>
  </si>
  <si>
    <t>实用乐观:AI平民化</t>
  </si>
  <si>
    <t>Google Brain→Coursera→AI教育</t>
  </si>
  <si>
    <t>「AI is the new electricity」</t>
  </si>
  <si>
    <t>X @AndrewYNg;The Batch 周报</t>
  </si>
  <si>
    <t>黄仁勋</t>
  </si>
  <si>
    <t>Jensen Huang</t>
  </si>
  <si>
    <t>NVIDIA CEO</t>
  </si>
  <si>
    <t>芯片硬件</t>
  </si>
  <si>
    <t>加速派:算力即生产力</t>
  </si>
  <si>
    <t>图形芯片→AI算力霸主</t>
  </si>
  <si>
    <t>CUDA生态;GTC大会</t>
  </si>
  <si>
    <t>GTC/COMPUTEX 主题演讲</t>
  </si>
  <si>
    <t>皮查伊</t>
  </si>
  <si>
    <t>Sundar Pichai</t>
  </si>
  <si>
    <t>Google CEO</t>
  </si>
  <si>
    <t>谨慎推进</t>
  </si>
  <si>
    <t>搜索→AI全线整合</t>
  </si>
  <si>
    <t>Gemini全线整合</t>
  </si>
  <si>
    <t>X @sundarpichai</t>
  </si>
  <si>
    <t>纳德拉</t>
  </si>
  <si>
    <t>Satya Nadella</t>
  </si>
  <si>
    <t>微软CEO</t>
  </si>
  <si>
    <t>商业实用派</t>
  </si>
  <si>
    <t>云优先→AI优先</t>
  </si>
  <si>
    <t>百亿美元投OpenAI;Copilot全线</t>
  </si>
  <si>
    <t>X @satyanadella</t>
  </si>
  <si>
    <t>安德森</t>
  </si>
  <si>
    <t>Marc Andreessen</t>
  </si>
  <si>
    <t>a16z联创</t>
  </si>
  <si>
    <t>投资圈</t>
  </si>
  <si>
    <t>技术乐观加速派:反监管</t>
  </si>
  <si>
    <t>互联网投资→AI重注</t>
  </si>
  <si>
    <t>2023.6《Why AI Will Save the World》</t>
  </si>
  <si>
    <t>X @pmarca;a16z 博客/播客</t>
  </si>
  <si>
    <t>霍夫曼</t>
  </si>
  <si>
    <t>Reid Hoffman</t>
  </si>
  <si>
    <t>LinkedIn联创;Greylock</t>
  </si>
  <si>
    <t>乐观实用:AI放大人</t>
  </si>
  <si>
    <t>OpenAI早期董事→持续布道</t>
  </si>
  <si>
    <t>《Impromptu》《Superagency》</t>
  </si>
  <si>
    <t>X @reidhoffman;播客/著作</t>
  </si>
  <si>
    <t>科斯拉</t>
  </si>
  <si>
    <t>Vinod Khosla</t>
  </si>
  <si>
    <t>Khosla Ventures创始人</t>
  </si>
  <si>
    <t>乐观但有条件警告</t>
  </si>
  <si>
    <t>2019早期承诺10亿美元投资OpenAI</t>
  </si>
  <si>
    <t>OpenAI最早机构投资人</t>
  </si>
  <si>
    <t>X @vkhosla</t>
  </si>
  <si>
    <t>李开复</t>
  </si>
  <si>
    <t>Kai-Fu Lee</t>
  </si>
  <si>
    <t>零一万物创始人;创新工场董事长</t>
  </si>
  <si>
    <t>国内</t>
  </si>
  <si>
    <t>实用派:应用层机会</t>
  </si>
  <si>
    <t>微软/谷歌高管→创业孵化→大模型</t>
  </si>
  <si>
    <t>2024「大模型十巨头」论</t>
  </si>
  <si>
    <t>X @kaifulee;微博同名</t>
  </si>
  <si>
    <t>梁文锋</t>
  </si>
  <si>
    <t>Liang Wenfeng</t>
  </si>
  <si>
    <t>DeepSeek创始人</t>
  </si>
  <si>
    <t>极简务实:开源+低成本</t>
  </si>
  <si>
    <t>幻方量化→DeepSeek</t>
  </si>
  <si>
    <t>2025.1 R1发布,引发全球关注</t>
  </si>
  <si>
    <t>(极少公开)访谈为主</t>
  </si>
  <si>
    <t>极少发声,素材靠访谈转载</t>
  </si>
  <si>
    <t>杨植麟</t>
  </si>
  <si>
    <t>Yang Zhilin</t>
  </si>
  <si>
    <t>月之暗面(Kimi)创始人</t>
  </si>
  <si>
    <t>技术信仰派</t>
  </si>
  <si>
    <t>清华→卡内基梅隆→创业</t>
  </si>
  <si>
    <t>Kimi长上下文</t>
  </si>
  <si>
    <t>(极少公开)官方渠道</t>
  </si>
  <si>
    <t>王小川</t>
  </si>
  <si>
    <t>Wang Xiaochuan</t>
  </si>
  <si>
    <t>百川智能创始人</t>
  </si>
  <si>
    <t>AGI+生命科学派</t>
  </si>
  <si>
    <t>搜狗CEO→二次创业</t>
  </si>
  <si>
    <t>搜狗出售后转型AGI</t>
  </si>
  <si>
    <t>微博@王小川</t>
  </si>
  <si>
    <t>李彦宏</t>
  </si>
  <si>
    <t>Robin Li</t>
  </si>
  <si>
    <t>百度创始人</t>
  </si>
  <si>
    <t>应用务实派</t>
  </si>
  <si>
    <t>搜索→文心一言→萝卜快跑</t>
  </si>
  <si>
    <t>2023.3文心一言国内首发</t>
  </si>
  <si>
    <t>(无个人账号)发布会为主</t>
  </si>
  <si>
    <t>闭源言论有争议,引用需上下文</t>
  </si>
  <si>
    <t>周靖人</t>
  </si>
  <si>
    <t>Zhou Jingren</t>
  </si>
  <si>
    <t>阿里云CTO;通义千问负责人</t>
  </si>
  <si>
    <t>开源生态派</t>
  </si>
  <si>
    <t>阿里达摩院→通义千问</t>
  </si>
  <si>
    <t>Qwen系列开源全球领跑</t>
  </si>
  <si>
    <t>(无个人账号)通义官方</t>
  </si>
  <si>
    <t>朱啸虎</t>
  </si>
  <si>
    <t>Zhu Xiaohu</t>
  </si>
  <si>
    <t>金沙江创投主管合伙人</t>
  </si>
  <si>
    <t>商业回报务实派</t>
  </si>
  <si>
    <t>2024看空大模型创业→2025拥抱DeepSeek生态</t>
  </si>
  <si>
    <t>「独角兽捕手」</t>
  </si>
  <si>
    <t>微博@朱啸虎;访谈</t>
  </si>
  <si>
    <t>立场反复,注意时间线</t>
  </si>
  <si>
    <t>王兴兴</t>
  </si>
  <si>
    <t>Wang Xingxing</t>
  </si>
  <si>
    <t>宇树科技创始人</t>
  </si>
  <si>
    <t>机器人</t>
  </si>
  <si>
    <t>硬件实干派</t>
  </si>
  <si>
    <t>机器狗→人形机器人</t>
  </si>
  <si>
    <t>2025春晚机器人扭秧歌</t>
  </si>
  <si>
    <t>(以采访与官方为主)</t>
  </si>
  <si>
    <t>扎克伯格</t>
  </si>
  <si>
    <t>Mark Zuckerberg</t>
  </si>
  <si>
    <t>Meta CEO</t>
  </si>
  <si>
    <t>巨头掌门</t>
  </si>
  <si>
    <t>开源扩张:Llama 免费开放换生态</t>
  </si>
  <si>
    <t>封闭社交帝国→押注开源大模型</t>
  </si>
  <si>
    <t>Llama 3/4 开源;开源闭源路线之争</t>
  </si>
  <si>
    <t>Threads @zuck;Meta 官方</t>
  </si>
  <si>
    <t>库克</t>
  </si>
  <si>
    <t>Tim Cook</t>
  </si>
  <si>
    <t>Apple CEO</t>
  </si>
  <si>
    <t>端侧务实:AI 融入硬件不炫技</t>
  </si>
  <si>
    <t>长期避谈 AI→2024 Apple Intelligence 全线接入</t>
  </si>
  <si>
    <t>2024 WWDC 发布 Apple Intelligence</t>
  </si>
  <si>
    <t>(极少个人发声)发布会为主</t>
  </si>
  <si>
    <t>贾西</t>
  </si>
  <si>
    <t>Andy Jassy</t>
  </si>
  <si>
    <t>Amazon CEO</t>
  </si>
  <si>
    <t>基础设施派:AI 是 AWS 的新电力</t>
  </si>
  <si>
    <t>电商运营→All-in AI 云基建</t>
  </si>
  <si>
    <t>Bedrock;Trainium 芯片;Nova 模型</t>
  </si>
  <si>
    <t>X @ajassy;股东信</t>
  </si>
  <si>
    <t>埃里森</t>
  </si>
  <si>
    <t>Larry Ellison</t>
  </si>
  <si>
    <t>甲骨文创始人</t>
  </si>
  <si>
    <t>激进扩张:AI 数据中心豪赌</t>
  </si>
  <si>
    <t>数据库巨头→AI 云基建狂人</t>
  </si>
  <si>
    <t>与 OpenAI 星门数据中心合作</t>
  </si>
  <si>
    <t>财报电话会/访谈</t>
  </si>
  <si>
    <t>「AI 军备竞赛」类金句频出</t>
  </si>
  <si>
    <t>贝索斯</t>
  </si>
  <si>
    <t>Jeff Bezos</t>
  </si>
  <si>
    <t>亚马逊创始人</t>
  </si>
  <si>
    <t>长期主义:幕后布局 AI 与太空</t>
  </si>
  <si>
    <t>CEO 退位→双线押注</t>
  </si>
  <si>
    <t>投资 Perplexity 等 AI 新贵</t>
  </si>
  <si>
    <t>X @JeffBezos(偶发)</t>
  </si>
  <si>
    <t>苏姿丰</t>
  </si>
  <si>
    <t>Lisa Su</t>
  </si>
  <si>
    <t>AMD CEO</t>
  </si>
  <si>
    <t>务实攻坚:性能对标英伟达</t>
  </si>
  <si>
    <t>2014 接手濒危 AMD→十年市值百倍</t>
  </si>
  <si>
    <t>Instinct MI300 撼动 AI 算力格局</t>
  </si>
  <si>
    <t>X @LisaSu;CES/财报会</t>
  </si>
  <si>
    <t>黄仁勋表亲,「苏妈」对比叙事佳</t>
  </si>
  <si>
    <t>丹妮拉</t>
  </si>
  <si>
    <t>Daniela Amodei</t>
  </si>
  <si>
    <t>Anthropic 总裁</t>
  </si>
  <si>
    <t>安全派产品化</t>
  </si>
  <si>
    <t>OpenAI 副总裁→随兄联创 Anthropic</t>
  </si>
  <si>
    <t>与 Dario 共同创立 Anthropic</t>
  </si>
  <si>
    <t>X @danamodei</t>
  </si>
  <si>
    <t>沙泽尔</t>
  </si>
  <si>
    <t>Noam Shazeer</t>
  </si>
  <si>
    <t>Google Gemini 联合负责人</t>
  </si>
  <si>
    <t>技术信仰:规模化至上</t>
  </si>
  <si>
    <t>Transformer 作者→创 Character.AI→2024 回归谷歌</t>
  </si>
  <si>
    <t>2017《Attention Is All You Need》合著</t>
  </si>
  <si>
    <t>(极少发声)技术访谈</t>
  </si>
  <si>
    <t>「2026 加入 OpenAI」一说待核实</t>
  </si>
  <si>
    <t>沃尔夫</t>
  </si>
  <si>
    <t>Thomas Wolf</t>
  </si>
  <si>
    <t>Hugging Face 联合创始人</t>
  </si>
  <si>
    <t>开源生态布道→研究方法批评者</t>
  </si>
  <si>
    <t>纯开源乐观→2025 公开质疑 AI 研究跟风</t>
  </si>
  <si>
    <t>Hugging Face 开源生态;2025 批评长文</t>
  </si>
  <si>
    <t>X @Thom_Wolf;HF 博客</t>
  </si>
  <si>
    <t>亚历山大·王</t>
  </si>
  <si>
    <t>Alexandr Wang</t>
  </si>
  <si>
    <t>Scale AI 创始人</t>
  </si>
  <si>
    <t>数据决定论:高质量数据定 AI 上限</t>
  </si>
  <si>
    <t>19 岁辍学创业→最年轻亿万富翁之一</t>
  </si>
  <si>
    <t>2025 Meta 重金入股 Scale AI</t>
  </si>
  <si>
    <t>X @alexandr_wang</t>
  </si>
  <si>
    <t>珀尔</t>
  </si>
  <si>
    <t>Judea Pearl</t>
  </si>
  <si>
    <t>UCLA 教授;2011 图灵奖</t>
  </si>
  <si>
    <t>因果革命:现 AI 缺因果推理</t>
  </si>
  <si>
    <t>贝叶斯网络→公开批评深度学习</t>
  </si>
  <si>
    <t>《为什么》;「深度学习=曲线拟合」论战</t>
  </si>
  <si>
    <t>著作/演讲(无社交)</t>
  </si>
  <si>
    <t>与深度学习阵营论战素材</t>
  </si>
  <si>
    <t>霍普菲尔德</t>
  </si>
  <si>
    <t>John Hopfield</t>
  </si>
  <si>
    <t>普林斯顿荣休教授</t>
  </si>
  <si>
    <t>物理视角看智能</t>
  </si>
  <si>
    <t>1982 Hopfield 网络→42 年后获诺奖</t>
  </si>
  <si>
    <t>2024 诺贝尔物理学奖</t>
  </si>
  <si>
    <t>诺奖演讲/访谈</t>
  </si>
  <si>
    <t>「AI 之根在物理学」科普素材</t>
  </si>
  <si>
    <t>芬恩</t>
  </si>
  <si>
    <t>Chelsea Finn</t>
  </si>
  <si>
    <t>斯坦福教授</t>
  </si>
  <si>
    <t>具身智能+元学习</t>
  </si>
  <si>
    <t>纯学术→机器人实训派</t>
  </si>
  <si>
    <t>ALOHA 机器人;RT 系列合作</t>
  </si>
  <si>
    <t>X @chelseabfinn</t>
  </si>
  <si>
    <t>布雷齐尔</t>
  </si>
  <si>
    <t>Cynthia Breazeal</t>
  </si>
  <si>
    <t>MIT Media Lab 教授</t>
  </si>
  <si>
    <t>社交机器人+AI 素养教育</t>
  </si>
  <si>
    <t>Kismet(1998)→Jibo 失败→AI 教育</t>
  </si>
  <si>
    <t>社交机器人先驱;Jibo 创业复盘</t>
  </si>
  <si>
    <t>X @cynthiabreazeal</t>
  </si>
  <si>
    <t>低</t>
  </si>
  <si>
    <t>瑟夫</t>
  </si>
  <si>
    <t>Vint Cerf</t>
  </si>
  <si>
    <t>Google 首席互联网传道师</t>
  </si>
  <si>
    <t>互联网奠基人视角:AI 治理与存档</t>
  </si>
  <si>
    <t>TCP/IP 设计→警示数字信息保存</t>
  </si>
  <si>
    <t>「互联网之父」;TCP/IP 协议</t>
  </si>
  <si>
    <t>演讲/访谈</t>
  </si>
  <si>
    <t>郭文景</t>
  </si>
  <si>
    <t>Demi Guo</t>
  </si>
  <si>
    <t>Pika 联合创始人</t>
  </si>
  <si>
    <t>技术极客:AI 视频生成前沿</t>
  </si>
  <si>
    <t>斯坦福博士辍学→25 岁创业</t>
  </si>
  <si>
    <t>Pika 视频生成爆款</t>
  </si>
  <si>
    <t>Pika 官方/访谈</t>
  </si>
  <si>
    <t>英文名 Demi Guo(名单误作 Jing Wang)</t>
  </si>
  <si>
    <t>闫俊杰</t>
  </si>
  <si>
    <t>Yan Junjie</t>
  </si>
  <si>
    <t>MiniMax 创始人&amp;CEO</t>
  </si>
  <si>
    <t>多模态通才:不做单一爆款</t>
  </si>
  <si>
    <t>商汤副总裁→创立 MiniMax</t>
  </si>
  <si>
    <t>2025 MiniMax 港股上市</t>
  </si>
  <si>
    <t>(低调)发布会/官方</t>
  </si>
  <si>
    <t>上市时间与细节待核实</t>
  </si>
  <si>
    <t>唐杰</t>
  </si>
  <si>
    <t>Tang Jie</t>
  </si>
  <si>
    <t>智谱AI 首席科学家(奠基人)</t>
  </si>
  <si>
    <t>产学研贯通:模型即服务</t>
  </si>
  <si>
    <t>清华 KEG 实验室→智谱商业化</t>
  </si>
  <si>
    <t>悟道大模型;GLM 系列</t>
  </si>
  <si>
    <t>学术演讲/官方</t>
  </si>
  <si>
    <t>张一鸣</t>
  </si>
  <si>
    <t>Zhang Yiming</t>
  </si>
  <si>
    <t>字节跳动创始人</t>
  </si>
  <si>
    <t>数据驱动实用主义:AI 全面产品化</t>
  </si>
  <si>
    <t>退居一线→豆包成国民级应用</t>
  </si>
  <si>
    <t>豆包用户量登顶国内 AI 应用</t>
  </si>
  <si>
    <t>(无个人社交)字节官方</t>
  </si>
  <si>
    <t>极度低调,素材靠官方数据</t>
  </si>
  <si>
    <t>林俊旸</t>
  </si>
  <si>
    <t>Junyang Lin</t>
  </si>
  <si>
    <t>阿里通义千问技术负责人</t>
  </si>
  <si>
    <t>开源布道:Qwen 生态全球化</t>
  </si>
  <si>
    <t>阿里研究员→Qwen 开源掌门</t>
  </si>
  <si>
    <t>Qwen 开源衍生模型全球登顶</t>
  </si>
  <si>
    <t>X @JunyangLin;开源社区</t>
  </si>
  <si>
    <t>与周靖人(23 号)分掌通义技术与战略</t>
  </si>
  <si>
    <t>姚顺雨</t>
  </si>
  <si>
    <t>Yao Shunyu</t>
  </si>
  <si>
    <t>腾讯首席AI科学家</t>
  </si>
  <si>
    <t>语言智能体:ReAct 范式</t>
  </si>
  <si>
    <t>OpenAI 研究员→回国加入腾讯</t>
  </si>
  <si>
    <t>ReAct/SWE-benchmark 论文</t>
  </si>
  <si>
    <t>学术圈/官方</t>
  </si>
  <si>
    <t>腾讯任职细节待核实</t>
  </si>
  <si>
    <t>彭志辉(稚晖君)</t>
  </si>
  <si>
    <t>稚晖君</t>
  </si>
  <si>
    <t>Zhihui Peng</t>
  </si>
  <si>
    <t>智元机器人 CEO</t>
  </si>
  <si>
    <t>极客网红→量产实干</t>
  </si>
  <si>
    <t>华为天才少年→B 站百万粉→创业</t>
  </si>
  <si>
    <t>智元启元大模型;人形机器人量产</t>
  </si>
  <si>
    <t>B 站/微博 @稚晖君</t>
  </si>
  <si>
    <t>自带百万粉丝,自媒体联动素材</t>
  </si>
  <si>
    <t>王鹤</t>
  </si>
  <si>
    <t>Wang He</t>
  </si>
  <si>
    <t>银河通用创始人;北大教授</t>
  </si>
  <si>
    <t>产学研一体:具身感知</t>
  </si>
  <si>
    <t>北大助理教授→创业</t>
  </si>
  <si>
    <t>银河通用;具身大模型</t>
  </si>
  <si>
    <t>学术/官方</t>
  </si>
  <si>
    <t>朱秋国</t>
  </si>
  <si>
    <t>Zhu Qiuguo</t>
  </si>
  <si>
    <t>云深处科技创始人</t>
  </si>
  <si>
    <t>浙大系技术派:四足机器人</t>
  </si>
  <si>
    <t>浙大实验室→商业化</t>
  </si>
  <si>
    <t>绝影机器狗</t>
  </si>
  <si>
    <t>官方/展会</t>
  </si>
  <si>
    <t>邓泰华</t>
  </si>
  <si>
    <t>Deng Taihua</t>
  </si>
  <si>
    <t>智元机器人联合创始人</t>
  </si>
  <si>
    <t>研发-制造-租赁全生态</t>
  </si>
  <si>
    <t>华为无线产品线总裁→具身智能</t>
  </si>
  <si>
    <t>智元生态模式</t>
  </si>
  <si>
    <t>官方/访谈</t>
  </si>
  <si>
    <t>周剑</t>
  </si>
  <si>
    <t>Zhou Jian</t>
  </si>
  <si>
    <t>优必选 CEO</t>
  </si>
  <si>
    <t>商业化先驱:人形机器人第一股</t>
  </si>
  <si>
    <t>十一年坚持→港股上市</t>
  </si>
  <si>
    <t>2023 优必选港股上市</t>
  </si>
  <si>
    <t>俞浩</t>
  </si>
  <si>
    <t>Yu Hao</t>
  </si>
  <si>
    <t>追觅科技创始人</t>
  </si>
  <si>
    <t>技术品牌:马达自研到机器人</t>
  </si>
  <si>
    <t>清洁电器→人形机器人扩张</t>
  </si>
  <si>
    <t>追觅人形机器人出海</t>
  </si>
  <si>
    <t>任正非</t>
  </si>
  <si>
    <t>Ren Zhengfei</t>
  </si>
  <si>
    <t>华为创始人</t>
  </si>
  <si>
    <t>长期主义:底层攻坚+教育为先</t>
  </si>
  <si>
    <t>至暗时刻→昇腾算力突围</t>
  </si>
  <si>
    <t>昇腾算力;内部讲话流出</t>
  </si>
  <si>
    <t>(无社交)内部讲话/访谈</t>
  </si>
  <si>
    <t>内部讲话是金句富矿</t>
  </si>
  <si>
    <t>何庭波</t>
  </si>
  <si>
    <t>He Tingbo</t>
  </si>
  <si>
    <t>海思总裁</t>
  </si>
  <si>
    <t>备胎转正:极限生存</t>
  </si>
  <si>
    <t>2019 备胎信→数年沉潜攻坚</t>
  </si>
  <si>
    <t>2019《备胎正转》全员信</t>
  </si>
  <si>
    <t>(无个人社交)华为官方</t>
  </si>
  <si>
    <t>「芯片女王」+备胎信,史诗级叙事</t>
  </si>
  <si>
    <t>梁孟松</t>
  </si>
  <si>
    <t>Liang Mengsong</t>
  </si>
  <si>
    <t>中芯国际联席 CEO</t>
  </si>
  <si>
    <t>制程攻坚:三年追平数代</t>
  </si>
  <si>
    <t>台积电→三星→中芯;三度请辞</t>
  </si>
  <si>
    <t>14nm 量产;闪辞被挽留</t>
  </si>
  <si>
    <t>(零社交)公开信/报道</t>
  </si>
  <si>
    <t>三易其主+三度请辞,戏剧性拉满</t>
  </si>
  <si>
    <t>陈天石</t>
  </si>
  <si>
    <t>Chen Tianshi</t>
  </si>
  <si>
    <t>寒武纪创始人</t>
  </si>
  <si>
    <t>学术创业:AI 专用芯片</t>
  </si>
  <si>
    <t>中科大少年班→十年亏损→股王</t>
  </si>
  <si>
    <t>2024-2025 寒武纪股价登顶 A 股</t>
  </si>
  <si>
    <t>官方/股东大会</t>
  </si>
  <si>
    <t>余凯</t>
  </si>
  <si>
    <t>Yu Kai</t>
  </si>
  <si>
    <t>地平线创始人</t>
  </si>
  <si>
    <t>软硬结合:智驾芯片平权</t>
  </si>
  <si>
    <t>百度研究院→创业</t>
  </si>
  <si>
    <t>征程 6;2024 港股上市</t>
  </si>
  <si>
    <t>汪玉</t>
  </si>
  <si>
    <t>Wang Yu</t>
  </si>
  <si>
    <t>无问芯穹发起人;清华教授</t>
  </si>
  <si>
    <t>软硬协同:异构算力优化</t>
  </si>
  <si>
    <t>清华副院长→产业联盟发起人</t>
  </si>
  <si>
    <t>无问芯穹;清微智能</t>
  </si>
  <si>
    <t>沈亦晨</t>
  </si>
  <si>
    <t>Shen Yichen</t>
  </si>
  <si>
    <t>曦智科技创始人</t>
  </si>
  <si>
    <t>光计算先行者</t>
  </si>
  <si>
    <t>MIT 博士→光子芯片创业</t>
  </si>
  <si>
    <t>光电混合算力芯片 PACE</t>
  </si>
  <si>
    <t>魏少军</t>
  </si>
  <si>
    <t>Wei Shaojun</t>
  </si>
  <si>
    <t>清华大学教授(集成电路)</t>
  </si>
  <si>
    <t>可重构计算架构</t>
  </si>
  <si>
    <t>集成电路教育→产业建言</t>
  </si>
  <si>
    <t>可重构计算芯片体系</t>
  </si>
  <si>
    <t>学术/行业论坛</t>
  </si>
  <si>
    <t>「东方算芯董事长」一说存疑,以清华教授为准</t>
  </si>
  <si>
    <t>张建中</t>
  </si>
  <si>
    <t>Zhang Jianzhong</t>
  </si>
  <si>
    <t>摩尔线程创始人</t>
  </si>
  <si>
    <t>全功能 GPU 国产替代</t>
  </si>
  <si>
    <t>英伟达中国总经理→对标老东家创业</t>
  </si>
  <si>
    <t>国产 GPU 突围;递表上市</t>
  </si>
  <si>
    <t>姚期智</t>
  </si>
  <si>
    <t>Andrew Yao</t>
  </si>
  <si>
    <t>清华大学教授;2000 图灵奖</t>
  </si>
  <si>
    <t>源头人才培养:中国 AI 造血</t>
  </si>
  <si>
    <t>普林斯顿终身教授→全职回国</t>
  </si>
  <si>
    <t>图灵奖;姚班/智班</t>
  </si>
  <si>
    <t>演讲/官方</t>
  </si>
  <si>
    <t>朱松纯</t>
  </si>
  <si>
    <t>Zhu Songchun</t>
  </si>
  <si>
    <t>北大人工智能研究院院长</t>
  </si>
  <si>
    <t>通用 AI 另辟蹊径:小数据大任务</t>
  </si>
  <si>
    <t>UCLA 教授→回国领衔通用 AI</t>
  </si>
  <si>
    <t>通用智能体「通通」</t>
  </si>
  <si>
    <t>反对「大炼大模型」,差异化路线素材</t>
  </si>
  <si>
    <t>张林峰</t>
  </si>
  <si>
    <t>Zhang Linfeng</t>
  </si>
  <si>
    <t>深势科技创始人</t>
  </si>
  <si>
    <t>AI for Science:科研范式革命</t>
  </si>
  <si>
    <t>数学竞赛保送→科学计算创业</t>
  </si>
  <si>
    <t>分子模拟;AI 制药</t>
  </si>
  <si>
    <t>官方/学术</t>
  </si>
  <si>
    <t>曾国洋</t>
  </si>
  <si>
    <t>Zeng Guoyang</t>
  </si>
  <si>
    <t>面壁智能联合创始人</t>
  </si>
  <si>
    <t>端侧小模型:轻量化智能</t>
  </si>
  <si>
    <t>清华直博→创业</t>
  </si>
  <si>
    <t>MiniCPM 端侧模型</t>
  </si>
  <si>
    <t>知乎/官方</t>
  </si>
  <si>
    <t>印奇</t>
  </si>
  <si>
    <t>Yin Qi</t>
  </si>
  <si>
    <t>千里科技(原旷视)CEO</t>
  </si>
  <si>
    <t>AI应用</t>
  </si>
  <si>
    <t>AI 视觉→智驾转型</t>
  </si>
  <si>
    <t>旷视十年→更名转智驾</t>
  </si>
  <si>
    <t>旷视更名千里科技</t>
  </si>
  <si>
    <t>刘庆峰</t>
  </si>
  <si>
    <t>Liu Qingfeng</t>
  </si>
  <si>
    <t>科大讯飞董事长</t>
  </si>
  <si>
    <t>语音+认知全栈:国产自主</t>
  </si>
  <si>
    <t>26 年坚守语音→星火大模型</t>
  </si>
  <si>
    <t>星火大模型;华为合作</t>
  </si>
  <si>
    <t>发布会/官方</t>
  </si>
  <si>
    <t>李宏伟</t>
  </si>
  <si>
    <t>Li Hongwei</t>
  </si>
  <si>
    <t>雷鸟创新创始人</t>
  </si>
  <si>
    <t>AI+AR:空间计算入口</t>
  </si>
  <si>
    <t>TCL 系→AR 创业</t>
  </si>
  <si>
    <t>雷鸟 AI 眼镜</t>
  </si>
  <si>
    <t>官方/发布会</t>
  </si>
  <si>
    <t>楼天城</t>
  </si>
  <si>
    <t>楼教主</t>
  </si>
  <si>
    <t>Tiancheng Lou</t>
  </si>
  <si>
    <t>小马智行联合创始人/CTO</t>
  </si>
  <si>
    <t>技术信仰:自动驾驶系统架构</t>
  </si>
  <si>
    <t>Google X→百度T10→创立小马智行→港股IPO</t>
  </si>
  <si>
    <t>主导Pony.ai L4安全金字塔架构;2025推动港交所IPO</t>
  </si>
  <si>
    <t>(无公开社交)发布会/访谈</t>
  </si>
  <si>
    <t>唐文斌</t>
  </si>
  <si>
    <t>Wenbin Tang</t>
  </si>
  <si>
    <t>旷视科技联合创始人兼CTO</t>
  </si>
  <si>
    <t>技术驱动:计算机视觉产业化</t>
  </si>
  <si>
    <t>清华姚班→旷视联合创始人→CTO</t>
  </si>
  <si>
    <t>Face++开源生态;全球首款商用3D人脸解锁手机</t>
  </si>
  <si>
    <t>杨沐</t>
  </si>
  <si>
    <t>Mu Yang</t>
  </si>
  <si>
    <t>旷视科技联合创始人/SVP</t>
  </si>
  <si>
    <t>产品务实派:视觉技术规模化落地</t>
  </si>
  <si>
    <t>清华姚班→IOI金牌→旷视联合创业</t>
  </si>
  <si>
    <t>屏下摄像头技术商业化;安卓3D结构光人脸解锁</t>
  </si>
  <si>
    <t>邹昊</t>
  </si>
  <si>
    <t>Hao Zou</t>
  </si>
  <si>
    <t>清影医疗创始人;斯坦福博士;福布斯30 Under 30</t>
  </si>
  <si>
    <t>AI+医疗:技术降维切入垂直场景</t>
  </si>
  <si>
    <t>清华姚班→斯坦福博士→PIMCO最年轻基金经理→回国创业</t>
  </si>
  <si>
    <t>清影医疗AI病理诊断平台</t>
  </si>
  <si>
    <t>金融科技背景跨界AI医疗,独特叙事</t>
  </si>
  <si>
    <t>张胜誉</t>
  </si>
  <si>
    <t>Shengyu Zhang</t>
  </si>
  <si>
    <t>腾讯杰出科学家;量子实验室负责人</t>
  </si>
  <si>
    <t>量子计算实用化探索</t>
  </si>
  <si>
    <t>清华硕士→普林斯顿博士→港中文→腾讯量子实验室</t>
  </si>
  <si>
    <t>创建腾讯量子实验室并担任负责人</t>
  </si>
  <si>
    <t>吴佳俊</t>
  </si>
  <si>
    <t>Jiajun Wu</t>
  </si>
  <si>
    <t>商汤研究院研究员;清华姚班</t>
  </si>
  <si>
    <t>视觉AI研究:交互分割与动作识别</t>
  </si>
  <si>
    <t>清华姚班→CVPR论文作者→商汤研究</t>
  </si>
  <si>
    <t>多示例学习物体聚类;交互图像分割</t>
  </si>
  <si>
    <t>汤晓鸥</t>
  </si>
  <si>
    <t>Xiaoou Tang</t>
  </si>
  <si>
    <t>商汤科技创始人(2023.12逝世,享年55岁);香港中文大学教授</t>
  </si>
  <si>
    <t>AI产业化先锋:视觉技术规模化</t>
  </si>
  <si>
    <t>香港中文大学教授→2014年创立商汤→AI四小龙之首</t>
  </si>
  <si>
    <t>2014年创立商汤;全国首个智能视觉开放创新平台</t>
  </si>
  <si>
    <t>逝世(讣告)</t>
  </si>
  <si>
    <t>2023年12月15日逝世,商汤精神领袖</t>
  </si>
  <si>
    <t>杨帆</t>
  </si>
  <si>
    <t>Fan Yang</t>
  </si>
  <si>
    <t>商汤科技联合创始人/大装置事业群总裁</t>
  </si>
  <si>
    <t>AI基建派:算力基础设施规模化</t>
  </si>
  <si>
    <t>清华电子系→微软亚研院→商汤联合创始人→智算中心建设</t>
  </si>
  <si>
    <t>商汤AIDC;全国首个5A级智算中心;SenseCore全栈</t>
  </si>
  <si>
    <t>何凯明</t>
  </si>
  <si>
    <t>Kaiming He</t>
  </si>
  <si>
    <t>麻省理工副教授;Google DeepMind杰出科学家;ResNet发明者</t>
  </si>
  <si>
    <t>视觉基础模型:残差连接革新深度学习</t>
  </si>
  <si>
    <t>清华→港中文博士→MSRA→FAIR→MIT;最被引用论文作者</t>
  </si>
  <si>
    <t>ResNet;Faster R-CNN;MoCo;MAE</t>
  </si>
  <si>
    <t>学术主页/论文</t>
  </si>
  <si>
    <t>ResNet是21世纪被引用最多的论文</t>
  </si>
  <si>
    <t>刘知远</t>
  </si>
  <si>
    <t>Zhiyuan Liu</t>
  </si>
  <si>
    <t>面壁智能联合创始人/首席科学家;清华计算机系副教授</t>
  </si>
  <si>
    <t>知识密度派:小模型高效训练</t>
  </si>
  <si>
    <t>清华自然语言实验室→参与悟道2.0万亿大模型→创立面壁智能</t>
  </si>
  <si>
    <t>MiniCPM系列开源;大模型知识密度定律</t>
  </si>
  <si>
    <t>陈冕</t>
  </si>
  <si>
    <t>Mian Chen</t>
  </si>
  <si>
    <t>LibLibAI创始人;前字节剪映商业化负责人</t>
  </si>
  <si>
    <t>AIGC应用:图像生成平台创业</t>
  </si>
  <si>
    <t>东南大学→摩拜/滴滴/每日优鲜→字节剪映商业化→创立LibLibAI</t>
  </si>
  <si>
    <t>LibLibAI;2025发布全球首款设计Agent Lovart</t>
  </si>
  <si>
    <t>X @liblibai;发布会</t>
  </si>
  <si>
    <t>2025财富中国40位40岁以下商界精英</t>
  </si>
  <si>
    <t>胡伯涛</t>
  </si>
  <si>
    <t>Botao</t>
  </si>
  <si>
    <t>Hubiao Hu</t>
  </si>
  <si>
    <t>中国美术学院客座讲师;Reality Design Lab负责人</t>
  </si>
  <si>
    <t>空间计算+AI交叉:设计驱动技术创新</t>
  </si>
  <si>
    <t>清华计算机学士→斯坦福AI硕士→跨学科研究实验室</t>
  </si>
  <si>
    <t>Reality Design Lab;空间计算/人工生命/密码学交叉</t>
  </si>
  <si>
    <t>独特跨界背景:AI+设计+密码学+机器人</t>
  </si>
  <si>
    <t>贝小辉</t>
  </si>
  <si>
    <t>Xiaohui Bei</t>
  </si>
  <si>
    <t>新加坡南洋理工大学助理教授;姚班首届弟子</t>
  </si>
  <si>
    <t>计算经济学:算法博弈论与公平分配</t>
  </si>
  <si>
    <t>清华姚班2004级→MIT交叉信息院博士→微软学者→NTU助理教授</t>
  </si>
  <si>
    <t>AAAI最佳学生论文;资源配置效率与公平研究</t>
  </si>
  <si>
    <t>学术/会议</t>
  </si>
  <si>
    <t>王君行</t>
  </si>
  <si>
    <t>Junxing Wang</t>
  </si>
  <si>
    <t>斯坦福大学博士;计算经济学研究员</t>
  </si>
  <si>
    <t>计算经济学:机制设计与公平分配</t>
  </si>
  <si>
    <t>清华姚班2010级→斯坦福博士→全球首位本科生获AAAI最佳学生论文</t>
  </si>
  <si>
    <t>Fair Enough论文;近似极大极小值份额保障</t>
  </si>
  <si>
    <t>姚班本科阶段即获计算经济学领域最高学生荣誉</t>
  </si>
  <si>
    <t>周鸿祎</t>
  </si>
  <si>
    <t>红衣教主</t>
  </si>
  <si>
    <t>Zhou Hongyi</t>
  </si>
  <si>
    <t>360创始人;奇虎360董事长兼CEO</t>
  </si>
  <si>
    <t>AI实用派:大模型要落地才有价值</t>
  </si>
  <si>
    <t>2023拥抱OpenAI生态→持续推动360 AI产品化</t>
  </si>
  <si>
    <t>360智脑发布;AI安全产品全线整合</t>
  </si>
  <si>
    <t>X @zhouhongyi;直播/播客</t>
  </si>
  <si>
    <t>AI 人物言论库(持续追加)</t>
  </si>
  <si>
    <t>人物姓名</t>
  </si>
  <si>
    <t>言论内容</t>
  </si>
  <si>
    <t>标注</t>
  </si>
  <si>
    <t>出处与场合</t>
  </si>
  <si>
    <t>时间</t>
  </si>
  <si>
    <t>主题标签</t>
  </si>
  <si>
    <t>我们正接近一个奇点,但它会是温和的</t>
  </si>
  <si>
    <t>意译(中)</t>
  </si>
  <si>
    <t>个人博客《The Gentle Singularity》</t>
  </si>
  <si>
    <t>2025.6</t>
  </si>
  <si>
    <t>AGI时间表</t>
  </si>
  <si>
    <t>AI能力随投入指数提升,成本每年下降约10倍</t>
  </si>
  <si>
    <t>个人博客《Three Observations》</t>
  </si>
  <si>
    <t>2025.1</t>
  </si>
  <si>
    <t>Scaling</t>
  </si>
  <si>
    <t>AI可能比核武器更危险</t>
  </si>
  <si>
    <t>原文(英)</t>
  </si>
  <si>
    <t>推特</t>
  </si>
  <si>
    <t>2014.8</t>
  </si>
  <si>
    <t>风险警告</t>
  </si>
  <si>
    <t>xAI的使命是理解宇宙的真实本质</t>
  </si>
  <si>
    <t>xAI发布会</t>
  </si>
  <si>
    <t>2023.7</t>
  </si>
  <si>
    <t>使命</t>
  </si>
  <si>
    <t>治理得当的强AI,能把100年的科学进步压缩到5-10年</t>
  </si>
  <si>
    <t>博客《Machines of Loving Grace》</t>
  </si>
  <si>
    <t>2024.10</t>
  </si>
  <si>
    <t>乐观路线</t>
  </si>
  <si>
    <t>强大AI可能在2026-2027年间到来,对齐必须先行</t>
  </si>
  <si>
    <t>媒体访谈</t>
  </si>
  <si>
    <t>2024</t>
  </si>
  <si>
    <t>时间表</t>
  </si>
  <si>
    <t>AGI有望在2030年前后实现</t>
  </si>
  <si>
    <t>AI for Science是AI最大的正向机会</t>
  </si>
  <si>
    <t>诺贝尔奖相关访谈</t>
  </si>
  <si>
    <t>AI4S</t>
  </si>
  <si>
    <t>预训练时代将终结——数据如同化石燃料</t>
  </si>
  <si>
    <t>NeurIPS演讲</t>
  </si>
  <si>
    <t>2024.12</t>
  </si>
  <si>
    <t>范式转移</t>
  </si>
  <si>
    <t>LLM本质上是一种新型操作系统</t>
  </si>
  <si>
    <t>视频《An Intro to LLMs》</t>
  </si>
  <si>
    <t>2023.11</t>
  </si>
  <si>
    <t>技术认知</t>
  </si>
  <si>
    <t>软件2.0:由数据而非代码定义的程序</t>
  </si>
  <si>
    <t>博客《Software 2.0》</t>
  </si>
  <si>
    <t>2017</t>
  </si>
  <si>
    <t>自回归LLM是通往AGI道路上的岔路</t>
  </si>
  <si>
    <t>社交媒体/访谈(多次)</t>
  </si>
  <si>
    <t>技术路线</t>
  </si>
  <si>
    <t>AI末日论是一种新宗教</t>
  </si>
  <si>
    <t>社交媒体</t>
  </si>
  <si>
    <t>反末日论</t>
  </si>
  <si>
    <t>AI有10-20%的概率在10-20年内导致人类灭绝</t>
  </si>
  <si>
    <t>BBC采访</t>
  </si>
  <si>
    <t>生存风险</t>
  </si>
  <si>
    <t>我离开Google,是为了能自由谈论AI风险</t>
  </si>
  <si>
    <t>离职访谈</t>
  </si>
  <si>
    <t>2023.5</t>
  </si>
  <si>
    <t>AI发展速度已超出各国监管速度,国际协调刻不容缓</t>
  </si>
  <si>
    <t>《国际AI安全报告》结论</t>
  </si>
  <si>
    <t>监管</t>
  </si>
  <si>
    <t>空间智能是AI的下一个前沿——让AI理解三维世界</t>
  </si>
  <si>
    <t>TED演讲</t>
  </si>
  <si>
    <t>2024.4</t>
  </si>
  <si>
    <t>AI是新的电力</t>
  </si>
  <si>
    <t>斯坦福演讲(多次引用)</t>
  </si>
  <si>
    <t>2017起</t>
  </si>
  <si>
    <t>买得越多,省得越多</t>
  </si>
  <si>
    <t>COMPUTEX主题演讲</t>
  </si>
  <si>
    <t>2024.6</t>
  </si>
  <si>
    <t>算力商业</t>
  </si>
  <si>
    <t>推理时代的算力需求将远超训练</t>
  </si>
  <si>
    <t>GTC大会</t>
  </si>
  <si>
    <t>2025.3</t>
  </si>
  <si>
    <t>算力</t>
  </si>
  <si>
    <t>AI是比火与电更深远的技术</t>
  </si>
  <si>
    <t>媒体采访(多次)</t>
  </si>
  <si>
    <t>2023</t>
  </si>
  <si>
    <t>技术定位</t>
  </si>
  <si>
    <t>AI将拯救世界,而不是毁灭它</t>
  </si>
  <si>
    <t>博客《Why AI Will Save the World》</t>
  </si>
  <si>
    <t>2023.6</t>
  </si>
  <si>
    <t>技术乐观</t>
  </si>
  <si>
    <t>AI放大人的能动性,而非取代人</t>
  </si>
  <si>
    <t>《Superagency》/TED</t>
  </si>
  <si>
    <t>2025.2</t>
  </si>
  <si>
    <t>人机关系</t>
  </si>
  <si>
    <t>AI可实现免费医生与导师,但风险同样真实</t>
  </si>
  <si>
    <t>投资备忘录</t>
  </si>
  <si>
    <t>2023.4</t>
  </si>
  <si>
    <t>机会与风险</t>
  </si>
  <si>
    <t>大模型进入应用为王的时代,技术与场景结合才有价值</t>
  </si>
  <si>
    <t>商业化</t>
  </si>
  <si>
    <t>我们的目标是AGI,而不是快速商业化</t>
  </si>
  <si>
    <t>《暗涌》访谈</t>
  </si>
  <si>
    <t>2024.7</t>
  </si>
  <si>
    <t>AGI信仰</t>
  </si>
  <si>
    <t>中国AI不能永远处在跟随的位置</t>
  </si>
  <si>
    <t>中国AI定位</t>
  </si>
  <si>
    <t>把上下文越做越长,是通往AGI的关键路径之一</t>
  </si>
  <si>
    <t>闭源模型能力持续领先,开源模型的能力会落后</t>
  </si>
  <si>
    <t>百度世界大会(引发争议)</t>
  </si>
  <si>
    <t>2024.11</t>
  </si>
  <si>
    <t>开源闭源之争</t>
  </si>
  <si>
    <t>大模型创业烧钱换不来壁垒,应用层才有价值</t>
  </si>
  <si>
    <t>媒体访谈(多次)</t>
  </si>
  <si>
    <t>投资逻辑</t>
  </si>
  <si>
    <t>人形机器人有望在数年内进入千家万户</t>
  </si>
  <si>
    <t>媒体采访</t>
  </si>
  <si>
    <t>机器人时间表</t>
  </si>
</sst>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8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  <!-- 5: Header white bold (v2) -->
    <font>
      <b/>
      <sz val="11"/>
      <name val="Calibri"/>
      <color rgb="00FFFFFF"/>
    </font>
    <!-- 6: Big title bold 14pt (v2) -->
    <font>
      <b/>
      <sz val="14"/>
      <name val="Calibri"/>
      <color rgb="00000000"/>
    </font>
    <!-- 7: Priority-high red bold (v2) -->
    <font>
      <b/>
      <sz val="11"/>
      <name val="Calibri"/>
      <color rgb="00C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5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  <!-- 3: Header dark blue (v2) -->
    <fill>
      <patternFill patternType="solid">
        <fgColor rgb="001F4E79"/>
        <bgColor indexed="64"/>
      </patternFill>
    </fill>
    <!-- 4: Zebra light gray (v2) -->
    <fill>
      <patternFill patternType="solid">
        <fgColor rgb="00F2F2F2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2">
    <!-- 0: No borders (default) -->
    <border>
      <left/>
      <right/>
      <top/>
      <bottom/>
      <diagonal/>
    </border>
    <!-- 1: thin box border all sides (v2) --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22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  <!-- 13: Big title (v2) -->
    <xf numFmtId="0" fontId="6" fillId="0" borderId="0" xfId="0" applyFont="1" applyAlignment="1">
      <alignment horizontal="center" vertical="center"/>
    </xf>
    <!-- 14: Column header, white on dark blue, boxed (v2) -->
    <xf numFmtId="0" fontId="5" fillId="3" borderId="1" xfId="0" applyFont="1" applyFill="1" applyBorder="1" applyAlignment="1">
      <alignment horizontal="center" vertical="center" wrapText="1"/>
    </xf>
    <!-- 15: Data left, boxed (v2) -->
    <xf numFmtId="0" fontId="0" fillId="0" borderId="1" xfId="0" applyBorder="1" applyAlignment="1">
      <alignment horizontal="left" vertical="center" wrapText="1"/>
    </xf>
    <!-- 16: Data left zebra, boxed (v2) -->
    <xf numFmtId="0" fontId="0" fillId="4" borderId="1" xfId="0" applyBorder="1" applyFill="1" applyAlignment="1">
      <alignment horizontal="left" vertical="center" wrapText="1"/>
    </xf>
    <!-- 17: Cross-sheet COUNTIF, green centered, boxed (v2) -->
    <xf numFmtId="0" fontId="3" fillId="0" borderId="1" xfId="0" applyFont="1" applyBorder="1" applyAlignment="1">
      <alignment horizontal="center" vertical="center"/>
    </xf>
    <!-- 18: Priority high, red bold centered, boxed (v2) -->
    <xf numFmtId="0" fontId="7" fillId="0" borderId="1" xfId="0" applyFont="1" applyBorder="1" applyAlignment="1">
      <alignment horizontal="center" vertical="center"/>
    </xf>
    <!-- 19: Data centered, boxed (v2) -->
    <xf numFmtId="0" fontId="0" fillId="0" borderId="1" xfId="0" applyBorder="1" applyAlignment="1">
      <alignment horizontal="center" vertical="center" wrapText="1"/>
    </xf>
    <!-- 20: Data centered zebra, boxed (v2) -->
    <xf numFmtId="0" fontId="0" fillId="4" borderId="1" xfId="0" applyBorder="1" applyFill="1" applyAlignment="1">
      <alignment horizontal="center" vertical="center" wrapText="1"/>
    </xf>
    <!-- 21: Priority high zebra, red bold centered, boxed (v2) -->
    <xf numFmtId="0" fontId="7" fillId="4" borderId="1" xfId="0" applyFont="1" applyBorder="1" applyFill="1" applyAlignment="1">
      <alignment horizontal="center" vertical="center"/>
    </xf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Relationship Id="rId4" Type="http://schemas.openxmlformats.org/officeDocument/2006/relationships/worksheet" Target="worksheets/sheet2.xml"/>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2" topLeftCell="A3" activePane="bottomLeft" state="frozen"/>
    </sheetView>
  </sheetViews>
  <sheetFormatPr xmlns:x14ac="http://schemas.microsoft.com/office/spreadsheetml/2009/9/ac" defaultRowHeight="15" x14ac:dyDescent="0.25"/>
  <cols>
    <col min="1" max="1" width="6" customWidth="1"/>
    <col min="2" max="2" width="10" customWidth="1"/>
    <col min="3" max="3" width="8" customWidth="1"/>
    <col min="4" max="4" width="16" customWidth="1"/>
    <col min="5" max="5" width="30" customWidth="1"/>
    <col min="6" max="6" width="11" customWidth="1"/>
    <col min="7" max="7" width="8" customWidth="1"/>
    <col min="8" max="8" width="24" customWidth="1"/>
    <col min="9" max="9" width="30" customWidth="1"/>
    <col min="10" max="10" width="34" customWidth="1"/>
    <col min="11" max="11" width="20" customWidth="1"/>
    <col min="12" max="12" width="10" customWidth="1"/>
    <col min="13" max="13" width="9" customWidth="1"/>
    <col min="14" max="14" width="26" customWidth="1"/>
  </cols>
  <sheetData>
    <row r="1" ht="34" customHeight="1">
      <c r="A1" t="s" s="13">
        <v>0</v>
      </c>
    </row>
    <row r="2" ht="26" customHeight="1">
      <c r="A2" t="s" s="14">
        <v>1</v>
      </c>
      <c r="B2" t="s" s="14">
        <v>2</v>
      </c>
      <c r="C2" t="s" s="14">
        <v>3</v>
      </c>
      <c r="D2" t="s" s="14">
        <v>4</v>
      </c>
      <c r="E2" t="s" s="14">
        <v>5</v>
      </c>
      <c r="F2" t="s" s="14">
        <v>6</v>
      </c>
      <c r="G2" t="s" s="14">
        <v>7</v>
      </c>
      <c r="H2" t="s" s="14">
        <v>8</v>
      </c>
      <c r="I2" t="s" s="14">
        <v>9</v>
      </c>
      <c r="J2" t="s" s="14">
        <v>10</v>
      </c>
      <c r="K2" t="s" s="14">
        <v>11</v>
      </c>
      <c r="L2" t="s" s="14">
        <v>12</v>
      </c>
      <c r="M2" t="s" s="14">
        <v>13</v>
      </c>
      <c r="N2" t="s" s="14">
        <v>14</v>
      </c>
    </row>
    <row r="3" ht="28" customHeight="1">
      <c r="A3" s="19">
        <v>1</v>
      </c>
      <c r="B3" t="s" s="19">
        <v>15</v>
      </c>
      <c r="C3" s="19"/>
      <c r="D3" t="s" s="15">
        <v>16</v>
      </c>
      <c r="E3" t="s" s="19">
        <v>17</v>
      </c>
      <c r="F3" t="s" s="19">
        <v>18</v>
      </c>
      <c r="G3" t="s" s="15">
        <v>19</v>
      </c>
      <c r="H3" t="s" s="15">
        <v>20</v>
      </c>
      <c r="I3" t="s" s="15">
        <v>21</v>
      </c>
      <c r="J3" t="s" s="15">
        <v>22</v>
      </c>
      <c r="K3" t="s" s="15">
        <v>23</v>
      </c>
      <c r="L3" s="17">
        <f>COUNTIF(言论库!B:B,B3)</f>
        <v/>
      </c>
      <c r="M3" t="s" s="18">
        <v>24</v>
      </c>
      <c r="N3" s="15"/>
    </row>
    <row r="4" ht="28" customHeight="1">
      <c r="A4" s="20">
        <v>2</v>
      </c>
      <c r="B4" t="s" s="20">
        <v>25</v>
      </c>
      <c r="C4" s="20"/>
      <c r="D4" t="s" s="16">
        <v>26</v>
      </c>
      <c r="E4" t="s" s="20">
        <v>27</v>
      </c>
      <c r="F4" t="s" s="20">
        <v>18</v>
      </c>
      <c r="G4" t="s" s="16">
        <v>19</v>
      </c>
      <c r="H4" t="s" s="16">
        <v>28</v>
      </c>
      <c r="I4" t="s" s="16">
        <v>29</v>
      </c>
      <c r="J4" t="s" s="16">
        <v>30</v>
      </c>
      <c r="K4" t="s" s="16">
        <v>31</v>
      </c>
      <c r="L4" s="17">
        <f>COUNTIF(言论库!B:B,B4)</f>
        <v/>
      </c>
      <c r="M4" t="s" s="21">
        <v>24</v>
      </c>
      <c r="N4" s="16"/>
    </row>
    <row r="5" ht="28" customHeight="1">
      <c r="A5" s="19">
        <v>3</v>
      </c>
      <c r="B5" t="s" s="19">
        <v>32</v>
      </c>
      <c r="C5" s="19"/>
      <c r="D5" t="s" s="15">
        <v>33</v>
      </c>
      <c r="E5" t="s" s="19">
        <v>34</v>
      </c>
      <c r="F5" t="s" s="19">
        <v>18</v>
      </c>
      <c r="G5" t="s" s="15">
        <v>19</v>
      </c>
      <c r="H5" t="s" s="15">
        <v>35</v>
      </c>
      <c r="I5" t="s" s="15">
        <v>36</v>
      </c>
      <c r="J5" t="s" s="15">
        <v>37</v>
      </c>
      <c r="K5" t="s" s="15">
        <v>38</v>
      </c>
      <c r="L5" s="17">
        <f>COUNTIF(言论库!B:B,B5)</f>
        <v/>
      </c>
      <c r="M5" t="s" s="18">
        <v>24</v>
      </c>
      <c r="N5" s="15"/>
    </row>
    <row r="6" ht="28" customHeight="1">
      <c r="A6" s="20">
        <v>4</v>
      </c>
      <c r="B6" t="s" s="20">
        <v>39</v>
      </c>
      <c r="C6" s="20"/>
      <c r="D6" t="s" s="16">
        <v>40</v>
      </c>
      <c r="E6" t="s" s="20">
        <v>41</v>
      </c>
      <c r="F6" t="s" s="20">
        <v>18</v>
      </c>
      <c r="G6" t="s" s="16">
        <v>19</v>
      </c>
      <c r="H6" t="s" s="16">
        <v>42</v>
      </c>
      <c r="I6" t="s" s="16">
        <v>43</v>
      </c>
      <c r="J6" t="s" s="16">
        <v>44</v>
      </c>
      <c r="K6" t="s" s="16">
        <v>45</v>
      </c>
      <c r="L6" s="17">
        <f>COUNTIF(言论库!B:B,B6)</f>
        <v/>
      </c>
      <c r="M6" t="s" s="21">
        <v>24</v>
      </c>
      <c r="N6" s="16"/>
    </row>
    <row r="7" ht="28" customHeight="1">
      <c r="A7" s="19">
        <v>5</v>
      </c>
      <c r="B7" t="s" s="19">
        <v>46</v>
      </c>
      <c r="C7" s="19"/>
      <c r="D7" t="s" s="15">
        <v>47</v>
      </c>
      <c r="E7" t="s" s="19">
        <v>48</v>
      </c>
      <c r="F7" t="s" s="19">
        <v>18</v>
      </c>
      <c r="G7" t="s" s="15">
        <v>19</v>
      </c>
      <c r="H7" t="s" s="15">
        <v>49</v>
      </c>
      <c r="I7" t="s" s="15">
        <v>50</v>
      </c>
      <c r="J7" t="s" s="15">
        <v>51</v>
      </c>
      <c r="K7" t="s" s="15">
        <v>52</v>
      </c>
      <c r="L7" s="17">
        <f>COUNTIF(言论库!B:B,B7)</f>
        <v/>
      </c>
      <c r="M7" t="s" s="18">
        <v>24</v>
      </c>
      <c r="N7" s="15"/>
    </row>
    <row r="8" ht="28" customHeight="1">
      <c r="A8" s="20">
        <v>6</v>
      </c>
      <c r="B8" t="s" s="20">
        <v>53</v>
      </c>
      <c r="C8" s="20"/>
      <c r="D8" t="s" s="16">
        <v>54</v>
      </c>
      <c r="E8" t="s" s="20">
        <v>55</v>
      </c>
      <c r="F8" t="s" s="20">
        <v>56</v>
      </c>
      <c r="G8" t="s" s="16">
        <v>19</v>
      </c>
      <c r="H8" t="s" s="16">
        <v>57</v>
      </c>
      <c r="I8" t="s" s="16">
        <v>58</v>
      </c>
      <c r="J8" t="s" s="16">
        <v>59</v>
      </c>
      <c r="K8" t="s" s="16">
        <v>60</v>
      </c>
      <c r="L8" s="17">
        <f>COUNTIF(言论库!B:B,B8)</f>
        <v/>
      </c>
      <c r="M8" t="s" s="21">
        <v>24</v>
      </c>
      <c r="N8" s="16"/>
    </row>
    <row r="9" ht="28" customHeight="1">
      <c r="A9" s="19">
        <v>7</v>
      </c>
      <c r="B9" t="s" s="19">
        <v>61</v>
      </c>
      <c r="C9" s="19"/>
      <c r="D9" t="s" s="15">
        <v>62</v>
      </c>
      <c r="E9" t="s" s="19">
        <v>63</v>
      </c>
      <c r="F9" t="s" s="19">
        <v>56</v>
      </c>
      <c r="G9" t="s" s="15">
        <v>19</v>
      </c>
      <c r="H9" t="s" s="15">
        <v>64</v>
      </c>
      <c r="I9" t="s" s="15">
        <v>65</v>
      </c>
      <c r="J9" t="s" s="15">
        <v>66</v>
      </c>
      <c r="K9" t="s" s="15">
        <v>67</v>
      </c>
      <c r="L9" s="17">
        <f>COUNTIF(言论库!B:B,B9)</f>
        <v/>
      </c>
      <c r="M9" t="s" s="18">
        <v>24</v>
      </c>
      <c r="N9" s="15"/>
    </row>
    <row r="10" ht="28" customHeight="1">
      <c r="A10" s="20">
        <v>8</v>
      </c>
      <c r="B10" t="s" s="20">
        <v>68</v>
      </c>
      <c r="C10" s="20"/>
      <c r="D10" t="s" s="16">
        <v>69</v>
      </c>
      <c r="E10" t="s" s="20">
        <v>70</v>
      </c>
      <c r="F10" t="s" s="20">
        <v>56</v>
      </c>
      <c r="G10" t="s" s="16">
        <v>19</v>
      </c>
      <c r="H10" t="s" s="16">
        <v>71</v>
      </c>
      <c r="I10" t="s" s="16">
        <v>72</v>
      </c>
      <c r="J10" t="s" s="16">
        <v>73</v>
      </c>
      <c r="K10" t="s" s="16">
        <v>74</v>
      </c>
      <c r="L10" s="17">
        <f>COUNTIF(言论库!B:B,B10)</f>
        <v/>
      </c>
      <c r="M10" t="s" s="21">
        <v>24</v>
      </c>
      <c r="N10" t="s" s="16">
        <v>75</v>
      </c>
    </row>
    <row r="11" ht="28" customHeight="1">
      <c r="A11" s="19">
        <v>9</v>
      </c>
      <c r="B11" t="s" s="19">
        <v>76</v>
      </c>
      <c r="C11" s="19"/>
      <c r="D11" t="s" s="15">
        <v>77</v>
      </c>
      <c r="E11" t="s" s="19">
        <v>78</v>
      </c>
      <c r="F11" t="s" s="19">
        <v>56</v>
      </c>
      <c r="G11" t="s" s="15">
        <v>19</v>
      </c>
      <c r="H11" t="s" s="15">
        <v>79</v>
      </c>
      <c r="I11" t="s" s="15">
        <v>80</v>
      </c>
      <c r="J11" t="s" s="15">
        <v>81</v>
      </c>
      <c r="K11" t="s" s="15">
        <v>82</v>
      </c>
      <c r="L11" s="17">
        <f>COUNTIF(言论库!B:B,B11)</f>
        <v/>
      </c>
      <c r="M11" t="s" s="19">
        <v>83</v>
      </c>
      <c r="N11" s="15"/>
    </row>
    <row r="12" ht="28" customHeight="1">
      <c r="A12" s="20">
        <v>10</v>
      </c>
      <c r="B12" t="s" s="20">
        <v>84</v>
      </c>
      <c r="C12" s="20"/>
      <c r="D12" t="s" s="16">
        <v>85</v>
      </c>
      <c r="E12" t="s" s="20">
        <v>86</v>
      </c>
      <c r="F12" t="s" s="20">
        <v>87</v>
      </c>
      <c r="G12" t="s" s="16">
        <v>19</v>
      </c>
      <c r="H12" t="s" s="16">
        <v>88</v>
      </c>
      <c r="I12" t="s" s="16">
        <v>89</v>
      </c>
      <c r="J12" t="s" s="16">
        <v>90</v>
      </c>
      <c r="K12" t="s" s="16">
        <v>91</v>
      </c>
      <c r="L12" s="17">
        <f>COUNTIF(言论库!B:B,B12)</f>
        <v/>
      </c>
      <c r="M12" t="s" s="21">
        <v>24</v>
      </c>
      <c r="N12" s="16"/>
    </row>
    <row r="13" ht="28" customHeight="1">
      <c r="A13" s="19">
        <v>11</v>
      </c>
      <c r="B13" t="s" s="19">
        <v>92</v>
      </c>
      <c r="C13" s="19"/>
      <c r="D13" t="s" s="15">
        <v>93</v>
      </c>
      <c r="E13" t="s" s="19">
        <v>94</v>
      </c>
      <c r="F13" t="s" s="19">
        <v>87</v>
      </c>
      <c r="G13" t="s" s="15">
        <v>19</v>
      </c>
      <c r="H13" t="s" s="15">
        <v>95</v>
      </c>
      <c r="I13" t="s" s="15">
        <v>96</v>
      </c>
      <c r="J13" t="s" s="15">
        <v>97</v>
      </c>
      <c r="K13" t="s" s="15">
        <v>98</v>
      </c>
      <c r="L13" s="17">
        <f>COUNTIF(言论库!B:B,B13)</f>
        <v/>
      </c>
      <c r="M13" t="s" s="19">
        <v>83</v>
      </c>
      <c r="N13" s="15"/>
    </row>
    <row r="14" ht="28" customHeight="1">
      <c r="A14" s="20">
        <v>12</v>
      </c>
      <c r="B14" t="s" s="20">
        <v>99</v>
      </c>
      <c r="C14" s="20"/>
      <c r="D14" t="s" s="16">
        <v>100</v>
      </c>
      <c r="E14" t="s" s="20">
        <v>101</v>
      </c>
      <c r="F14" t="s" s="20">
        <v>102</v>
      </c>
      <c r="G14" t="s" s="16">
        <v>19</v>
      </c>
      <c r="H14" t="s" s="16">
        <v>103</v>
      </c>
      <c r="I14" t="s" s="16">
        <v>104</v>
      </c>
      <c r="J14" t="s" s="16">
        <v>105</v>
      </c>
      <c r="K14" t="s" s="16">
        <v>106</v>
      </c>
      <c r="L14" s="17">
        <f>COUNTIF(言论库!B:B,B14)</f>
        <v/>
      </c>
      <c r="M14" t="s" s="21">
        <v>24</v>
      </c>
      <c r="N14" s="16"/>
    </row>
    <row r="15" ht="28" customHeight="1">
      <c r="A15" s="19">
        <v>13</v>
      </c>
      <c r="B15" t="s" s="19">
        <v>107</v>
      </c>
      <c r="C15" s="19"/>
      <c r="D15" t="s" s="15">
        <v>108</v>
      </c>
      <c r="E15" t="s" s="19">
        <v>109</v>
      </c>
      <c r="F15" t="s" s="19">
        <v>18</v>
      </c>
      <c r="G15" t="s" s="15">
        <v>19</v>
      </c>
      <c r="H15" t="s" s="15">
        <v>110</v>
      </c>
      <c r="I15" t="s" s="15">
        <v>111</v>
      </c>
      <c r="J15" t="s" s="15">
        <v>112</v>
      </c>
      <c r="K15" t="s" s="15">
        <v>113</v>
      </c>
      <c r="L15" s="17">
        <f>COUNTIF(言论库!B:B,B15)</f>
        <v/>
      </c>
      <c r="M15" t="s" s="19">
        <v>83</v>
      </c>
      <c r="N15" s="15"/>
    </row>
    <row r="16" ht="28" customHeight="1">
      <c r="A16" s="20">
        <v>14</v>
      </c>
      <c r="B16" t="s" s="20">
        <v>114</v>
      </c>
      <c r="C16" s="20"/>
      <c r="D16" t="s" s="16">
        <v>115</v>
      </c>
      <c r="E16" t="s" s="20">
        <v>116</v>
      </c>
      <c r="F16" t="s" s="20">
        <v>18</v>
      </c>
      <c r="G16" t="s" s="16">
        <v>19</v>
      </c>
      <c r="H16" t="s" s="16">
        <v>117</v>
      </c>
      <c r="I16" t="s" s="16">
        <v>118</v>
      </c>
      <c r="J16" t="s" s="16">
        <v>119</v>
      </c>
      <c r="K16" t="s" s="16">
        <v>120</v>
      </c>
      <c r="L16" s="17">
        <f>COUNTIF(言论库!B:B,B16)</f>
        <v/>
      </c>
      <c r="M16" t="s" s="20">
        <v>83</v>
      </c>
      <c r="N16" s="16"/>
    </row>
    <row r="17" ht="28" customHeight="1">
      <c r="A17" s="19">
        <v>15</v>
      </c>
      <c r="B17" t="s" s="19">
        <v>121</v>
      </c>
      <c r="C17" s="19"/>
      <c r="D17" t="s" s="15">
        <v>122</v>
      </c>
      <c r="E17" t="s" s="19">
        <v>123</v>
      </c>
      <c r="F17" t="s" s="19">
        <v>124</v>
      </c>
      <c r="G17" t="s" s="15">
        <v>19</v>
      </c>
      <c r="H17" t="s" s="15">
        <v>125</v>
      </c>
      <c r="I17" t="s" s="15">
        <v>126</v>
      </c>
      <c r="J17" t="s" s="15">
        <v>127</v>
      </c>
      <c r="K17" t="s" s="15">
        <v>128</v>
      </c>
      <c r="L17" s="17">
        <f>COUNTIF(言论库!B:B,B17)</f>
        <v/>
      </c>
      <c r="M17" t="s" s="18">
        <v>24</v>
      </c>
      <c r="N17" s="15"/>
    </row>
    <row r="18" ht="28" customHeight="1">
      <c r="A18" s="20">
        <v>16</v>
      </c>
      <c r="B18" t="s" s="20">
        <v>129</v>
      </c>
      <c r="C18" s="20"/>
      <c r="D18" t="s" s="16">
        <v>130</v>
      </c>
      <c r="E18" t="s" s="20">
        <v>131</v>
      </c>
      <c r="F18" t="s" s="20">
        <v>124</v>
      </c>
      <c r="G18" t="s" s="16">
        <v>19</v>
      </c>
      <c r="H18" t="s" s="16">
        <v>132</v>
      </c>
      <c r="I18" t="s" s="16">
        <v>133</v>
      </c>
      <c r="J18" t="s" s="16">
        <v>134</v>
      </c>
      <c r="K18" t="s" s="16">
        <v>135</v>
      </c>
      <c r="L18" s="17">
        <f>COUNTIF(言论库!B:B,B18)</f>
        <v/>
      </c>
      <c r="M18" t="s" s="20">
        <v>83</v>
      </c>
      <c r="N18" s="16"/>
    </row>
    <row r="19" ht="28" customHeight="1">
      <c r="A19" s="19">
        <v>17</v>
      </c>
      <c r="B19" t="s" s="19">
        <v>136</v>
      </c>
      <c r="C19" s="19"/>
      <c r="D19" t="s" s="15">
        <v>137</v>
      </c>
      <c r="E19" t="s" s="19">
        <v>138</v>
      </c>
      <c r="F19" t="s" s="19">
        <v>124</v>
      </c>
      <c r="G19" t="s" s="15">
        <v>19</v>
      </c>
      <c r="H19" t="s" s="15">
        <v>139</v>
      </c>
      <c r="I19" t="s" s="15">
        <v>140</v>
      </c>
      <c r="J19" t="s" s="15">
        <v>141</v>
      </c>
      <c r="K19" t="s" s="15">
        <v>142</v>
      </c>
      <c r="L19" s="17">
        <f>COUNTIF(言论库!B:B,B19)</f>
        <v/>
      </c>
      <c r="M19" t="s" s="19">
        <v>83</v>
      </c>
      <c r="N19" s="15"/>
    </row>
    <row r="20" ht="28" customHeight="1">
      <c r="A20" s="20">
        <v>18</v>
      </c>
      <c r="B20" t="s" s="20">
        <v>143</v>
      </c>
      <c r="C20" s="20"/>
      <c r="D20" t="s" s="16">
        <v>144</v>
      </c>
      <c r="E20" t="s" s="20">
        <v>145</v>
      </c>
      <c r="F20" t="s" s="20">
        <v>124</v>
      </c>
      <c r="G20" t="s" s="16">
        <v>146</v>
      </c>
      <c r="H20" t="s" s="16">
        <v>147</v>
      </c>
      <c r="I20" t="s" s="16">
        <v>148</v>
      </c>
      <c r="J20" t="s" s="16">
        <v>149</v>
      </c>
      <c r="K20" t="s" s="16">
        <v>150</v>
      </c>
      <c r="L20" s="17">
        <f>COUNTIF(言论库!B:B,B20)</f>
        <v/>
      </c>
      <c r="M20" t="s" s="21">
        <v>24</v>
      </c>
      <c r="N20" s="16"/>
    </row>
    <row r="21" ht="28" customHeight="1">
      <c r="A21" s="19">
        <v>19</v>
      </c>
      <c r="B21" t="s" s="19">
        <v>151</v>
      </c>
      <c r="C21" s="19"/>
      <c r="D21" t="s" s="15">
        <v>152</v>
      </c>
      <c r="E21" t="s" s="19">
        <v>153</v>
      </c>
      <c r="F21" t="s" s="19">
        <v>18</v>
      </c>
      <c r="G21" t="s" s="15">
        <v>146</v>
      </c>
      <c r="H21" t="s" s="15">
        <v>154</v>
      </c>
      <c r="I21" t="s" s="15">
        <v>155</v>
      </c>
      <c r="J21" t="s" s="15">
        <v>156</v>
      </c>
      <c r="K21" t="s" s="15">
        <v>157</v>
      </c>
      <c r="L21" s="17">
        <f>COUNTIF(言论库!B:B,B21)</f>
        <v/>
      </c>
      <c r="M21" t="s" s="18">
        <v>24</v>
      </c>
      <c r="N21" t="s" s="15">
        <v>158</v>
      </c>
    </row>
    <row r="22" ht="28" customHeight="1">
      <c r="A22" s="20">
        <v>20</v>
      </c>
      <c r="B22" t="s" s="20">
        <v>159</v>
      </c>
      <c r="C22" s="20"/>
      <c r="D22" t="s" s="16">
        <v>160</v>
      </c>
      <c r="E22" t="s" s="20">
        <v>161</v>
      </c>
      <c r="F22" t="s" s="20">
        <v>18</v>
      </c>
      <c r="G22" t="s" s="16">
        <v>146</v>
      </c>
      <c r="H22" t="s" s="16">
        <v>162</v>
      </c>
      <c r="I22" t="s" s="16">
        <v>163</v>
      </c>
      <c r="J22" t="s" s="16">
        <v>164</v>
      </c>
      <c r="K22" t="s" s="16">
        <v>165</v>
      </c>
      <c r="L22" s="17">
        <f>COUNTIF(言论库!B:B,B22)</f>
        <v/>
      </c>
      <c r="M22" t="s" s="21">
        <v>24</v>
      </c>
      <c r="N22" s="16"/>
    </row>
    <row r="23" ht="28" customHeight="1">
      <c r="A23" s="19">
        <v>21</v>
      </c>
      <c r="B23" t="s" s="19">
        <v>166</v>
      </c>
      <c r="C23" s="19"/>
      <c r="D23" t="s" s="15">
        <v>167</v>
      </c>
      <c r="E23" t="s" s="19">
        <v>168</v>
      </c>
      <c r="F23" t="s" s="19">
        <v>18</v>
      </c>
      <c r="G23" t="s" s="15">
        <v>146</v>
      </c>
      <c r="H23" t="s" s="15">
        <v>169</v>
      </c>
      <c r="I23" t="s" s="15">
        <v>170</v>
      </c>
      <c r="J23" t="s" s="15">
        <v>171</v>
      </c>
      <c r="K23" t="s" s="15">
        <v>172</v>
      </c>
      <c r="L23" s="17">
        <f>COUNTIF(言论库!B:B,B23)</f>
        <v/>
      </c>
      <c r="M23" t="s" s="19">
        <v>83</v>
      </c>
      <c r="N23" s="15"/>
    </row>
    <row r="24" ht="28" customHeight="1">
      <c r="A24" s="20">
        <v>22</v>
      </c>
      <c r="B24" t="s" s="20">
        <v>173</v>
      </c>
      <c r="C24" s="20"/>
      <c r="D24" t="s" s="16">
        <v>174</v>
      </c>
      <c r="E24" t="s" s="20">
        <v>175</v>
      </c>
      <c r="F24" t="s" s="20">
        <v>18</v>
      </c>
      <c r="G24" t="s" s="16">
        <v>146</v>
      </c>
      <c r="H24" t="s" s="16">
        <v>176</v>
      </c>
      <c r="I24" t="s" s="16">
        <v>177</v>
      </c>
      <c r="J24" t="s" s="16">
        <v>178</v>
      </c>
      <c r="K24" t="s" s="16">
        <v>179</v>
      </c>
      <c r="L24" s="17">
        <f>COUNTIF(言论库!B:B,B24)</f>
        <v/>
      </c>
      <c r="M24" t="s" s="21">
        <v>24</v>
      </c>
      <c r="N24" t="s" s="16">
        <v>180</v>
      </c>
    </row>
    <row r="25" ht="28" customHeight="1">
      <c r="A25" s="19">
        <v>23</v>
      </c>
      <c r="B25" t="s" s="19">
        <v>181</v>
      </c>
      <c r="C25" s="19"/>
      <c r="D25" t="s" s="15">
        <v>182</v>
      </c>
      <c r="E25" t="s" s="19">
        <v>183</v>
      </c>
      <c r="F25" t="s" s="19">
        <v>18</v>
      </c>
      <c r="G25" t="s" s="15">
        <v>146</v>
      </c>
      <c r="H25" t="s" s="15">
        <v>184</v>
      </c>
      <c r="I25" t="s" s="15">
        <v>185</v>
      </c>
      <c r="J25" t="s" s="15">
        <v>186</v>
      </c>
      <c r="K25" t="s" s="15">
        <v>187</v>
      </c>
      <c r="L25" s="17">
        <f>COUNTIF(言论库!B:B,B25)</f>
        <v/>
      </c>
      <c r="M25" t="s" s="19">
        <v>83</v>
      </c>
      <c r="N25" s="15"/>
    </row>
    <row r="26" ht="28" customHeight="1">
      <c r="A26" s="20">
        <v>24</v>
      </c>
      <c r="B26" t="s" s="20">
        <v>188</v>
      </c>
      <c r="C26" s="20"/>
      <c r="D26" t="s" s="16">
        <v>189</v>
      </c>
      <c r="E26" t="s" s="20">
        <v>190</v>
      </c>
      <c r="F26" t="s" s="20">
        <v>124</v>
      </c>
      <c r="G26" t="s" s="16">
        <v>146</v>
      </c>
      <c r="H26" t="s" s="16">
        <v>191</v>
      </c>
      <c r="I26" t="s" s="16">
        <v>192</v>
      </c>
      <c r="J26" t="s" s="16">
        <v>193</v>
      </c>
      <c r="K26" t="s" s="16">
        <v>194</v>
      </c>
      <c r="L26" s="17">
        <f>COUNTIF(言论库!B:B,B26)</f>
        <v/>
      </c>
      <c r="M26" t="s" s="20">
        <v>83</v>
      </c>
      <c r="N26" t="s" s="16">
        <v>195</v>
      </c>
    </row>
    <row r="27" ht="28" customHeight="1">
      <c r="A27" s="19">
        <v>25</v>
      </c>
      <c r="B27" t="s" s="19">
        <v>196</v>
      </c>
      <c r="C27" s="19"/>
      <c r="D27" t="s" s="15">
        <v>197</v>
      </c>
      <c r="E27" t="s" s="19">
        <v>198</v>
      </c>
      <c r="F27" t="s" s="19">
        <v>199</v>
      </c>
      <c r="G27" t="s" s="15">
        <v>146</v>
      </c>
      <c r="H27" t="s" s="15">
        <v>200</v>
      </c>
      <c r="I27" t="s" s="15">
        <v>201</v>
      </c>
      <c r="J27" t="s" s="15">
        <v>202</v>
      </c>
      <c r="K27" t="s" s="15">
        <v>203</v>
      </c>
      <c r="L27" s="17">
        <f>COUNTIF(言论库!B:B,B27)</f>
        <v/>
      </c>
      <c r="M27" t="s" s="18">
        <v>24</v>
      </c>
      <c r="N27" s="15"/>
    </row>
    <row r="28" ht="28" customHeight="1">
      <c r="A28" s="20">
        <v>26</v>
      </c>
      <c r="B28" t="s" s="20">
        <v>204</v>
      </c>
      <c r="C28" s="20"/>
      <c r="D28" t="s" s="16">
        <v>205</v>
      </c>
      <c r="E28" t="s" s="20">
        <v>206</v>
      </c>
      <c r="F28" t="s" s="20">
        <v>207</v>
      </c>
      <c r="G28" t="s" s="16">
        <v>19</v>
      </c>
      <c r="H28" t="s" s="16">
        <v>208</v>
      </c>
      <c r="I28" t="s" s="16">
        <v>209</v>
      </c>
      <c r="J28" t="s" s="16">
        <v>210</v>
      </c>
      <c r="K28" t="s" s="16">
        <v>211</v>
      </c>
      <c r="L28" s="17">
        <f>COUNTIF(言论库!B:B,B28)</f>
        <v/>
      </c>
      <c r="M28" t="s" s="21">
        <v>24</v>
      </c>
      <c r="N28" s="16"/>
    </row>
    <row r="29" ht="28" customHeight="1">
      <c r="A29" s="19">
        <v>27</v>
      </c>
      <c r="B29" t="s" s="19">
        <v>212</v>
      </c>
      <c r="C29" s="19"/>
      <c r="D29" t="s" s="15">
        <v>213</v>
      </c>
      <c r="E29" t="s" s="19">
        <v>214</v>
      </c>
      <c r="F29" t="s" s="19">
        <v>207</v>
      </c>
      <c r="G29" t="s" s="15">
        <v>19</v>
      </c>
      <c r="H29" t="s" s="15">
        <v>215</v>
      </c>
      <c r="I29" t="s" s="15">
        <v>216</v>
      </c>
      <c r="J29" t="s" s="15">
        <v>217</v>
      </c>
      <c r="K29" t="s" s="15">
        <v>218</v>
      </c>
      <c r="L29" s="17">
        <f>COUNTIF(言论库!B:B,B29)</f>
        <v/>
      </c>
      <c r="M29" t="s" s="19">
        <v>83</v>
      </c>
      <c r="N29" s="15"/>
    </row>
    <row r="30" ht="28" customHeight="1">
      <c r="A30" s="20">
        <v>28</v>
      </c>
      <c r="B30" t="s" s="20">
        <v>219</v>
      </c>
      <c r="C30" s="20"/>
      <c r="D30" t="s" s="16">
        <v>220</v>
      </c>
      <c r="E30" t="s" s="20">
        <v>221</v>
      </c>
      <c r="F30" t="s" s="20">
        <v>207</v>
      </c>
      <c r="G30" t="s" s="16">
        <v>19</v>
      </c>
      <c r="H30" t="s" s="16">
        <v>222</v>
      </c>
      <c r="I30" t="s" s="16">
        <v>223</v>
      </c>
      <c r="J30" t="s" s="16">
        <v>224</v>
      </c>
      <c r="K30" t="s" s="16">
        <v>225</v>
      </c>
      <c r="L30" s="17">
        <f>COUNTIF(言论库!B:B,B30)</f>
        <v/>
      </c>
      <c r="M30" t="s" s="20">
        <v>83</v>
      </c>
      <c r="N30" s="16"/>
    </row>
    <row r="31" ht="28" customHeight="1">
      <c r="A31" s="19">
        <v>29</v>
      </c>
      <c r="B31" t="s" s="19">
        <v>226</v>
      </c>
      <c r="C31" s="19"/>
      <c r="D31" t="s" s="15">
        <v>227</v>
      </c>
      <c r="E31" t="s" s="19">
        <v>228</v>
      </c>
      <c r="F31" t="s" s="19">
        <v>207</v>
      </c>
      <c r="G31" t="s" s="15">
        <v>19</v>
      </c>
      <c r="H31" t="s" s="15">
        <v>229</v>
      </c>
      <c r="I31" t="s" s="15">
        <v>230</v>
      </c>
      <c r="J31" t="s" s="15">
        <v>231</v>
      </c>
      <c r="K31" t="s" s="15">
        <v>232</v>
      </c>
      <c r="L31" s="17">
        <f>COUNTIF(言论库!B:B,B31)</f>
        <v/>
      </c>
      <c r="M31" t="s" s="19">
        <v>83</v>
      </c>
      <c r="N31" t="s" s="15">
        <v>233</v>
      </c>
    </row>
    <row r="32" ht="28" customHeight="1">
      <c r="A32" s="20">
        <v>30</v>
      </c>
      <c r="B32" t="s" s="20">
        <v>234</v>
      </c>
      <c r="C32" s="20"/>
      <c r="D32" t="s" s="16">
        <v>235</v>
      </c>
      <c r="E32" t="s" s="20">
        <v>236</v>
      </c>
      <c r="F32" t="s" s="20">
        <v>207</v>
      </c>
      <c r="G32" t="s" s="16">
        <v>19</v>
      </c>
      <c r="H32" t="s" s="16">
        <v>237</v>
      </c>
      <c r="I32" t="s" s="16">
        <v>238</v>
      </c>
      <c r="J32" t="s" s="16">
        <v>239</v>
      </c>
      <c r="K32" t="s" s="16">
        <v>240</v>
      </c>
      <c r="L32" s="17">
        <f>COUNTIF(言论库!B:B,B32)</f>
        <v/>
      </c>
      <c r="M32" t="s" s="20">
        <v>83</v>
      </c>
      <c r="N32" s="16"/>
    </row>
    <row r="33" ht="28" customHeight="1">
      <c r="A33" s="19">
        <v>31</v>
      </c>
      <c r="B33" t="s" s="19">
        <v>241</v>
      </c>
      <c r="C33" s="19"/>
      <c r="D33" t="s" s="15">
        <v>242</v>
      </c>
      <c r="E33" t="s" s="19">
        <v>243</v>
      </c>
      <c r="F33" t="s" s="19">
        <v>102</v>
      </c>
      <c r="G33" t="s" s="15">
        <v>19</v>
      </c>
      <c r="H33" t="s" s="15">
        <v>244</v>
      </c>
      <c r="I33" t="s" s="15">
        <v>245</v>
      </c>
      <c r="J33" t="s" s="15">
        <v>246</v>
      </c>
      <c r="K33" t="s" s="15">
        <v>247</v>
      </c>
      <c r="L33" s="17">
        <f>COUNTIF(言论库!B:B,B33)</f>
        <v/>
      </c>
      <c r="M33" t="s" s="18">
        <v>24</v>
      </c>
      <c r="N33" t="s" s="15">
        <v>248</v>
      </c>
    </row>
    <row r="34" ht="28" customHeight="1">
      <c r="A34" s="20">
        <v>32</v>
      </c>
      <c r="B34" t="s" s="20">
        <v>249</v>
      </c>
      <c r="C34" s="20"/>
      <c r="D34" t="s" s="16">
        <v>250</v>
      </c>
      <c r="E34" t="s" s="20">
        <v>251</v>
      </c>
      <c r="F34" t="s" s="20">
        <v>18</v>
      </c>
      <c r="G34" t="s" s="16">
        <v>19</v>
      </c>
      <c r="H34" t="s" s="16">
        <v>252</v>
      </c>
      <c r="I34" t="s" s="16">
        <v>253</v>
      </c>
      <c r="J34" t="s" s="16">
        <v>254</v>
      </c>
      <c r="K34" t="s" s="16">
        <v>255</v>
      </c>
      <c r="L34" s="17">
        <f>COUNTIF(言论库!B:B,B34)</f>
        <v/>
      </c>
      <c r="M34" t="s" s="20">
        <v>83</v>
      </c>
      <c r="N34" s="16"/>
    </row>
    <row r="35" ht="28" customHeight="1">
      <c r="A35" s="19">
        <v>33</v>
      </c>
      <c r="B35" t="s" s="19">
        <v>256</v>
      </c>
      <c r="C35" s="19"/>
      <c r="D35" t="s" s="15">
        <v>257</v>
      </c>
      <c r="E35" t="s" s="19">
        <v>258</v>
      </c>
      <c r="F35" t="s" s="19">
        <v>56</v>
      </c>
      <c r="G35" t="s" s="15">
        <v>19</v>
      </c>
      <c r="H35" t="s" s="15">
        <v>259</v>
      </c>
      <c r="I35" t="s" s="15">
        <v>260</v>
      </c>
      <c r="J35" t="s" s="15">
        <v>261</v>
      </c>
      <c r="K35" t="s" s="15">
        <v>262</v>
      </c>
      <c r="L35" s="17">
        <f>COUNTIF(言论库!B:B,B35)</f>
        <v/>
      </c>
      <c r="M35" t="s" s="18">
        <v>24</v>
      </c>
      <c r="N35" t="s" s="15">
        <v>263</v>
      </c>
    </row>
    <row r="36" ht="28" customHeight="1">
      <c r="A36" s="20">
        <v>34</v>
      </c>
      <c r="B36" t="s" s="20">
        <v>264</v>
      </c>
      <c r="C36" s="20"/>
      <c r="D36" t="s" s="16">
        <v>265</v>
      </c>
      <c r="E36" t="s" s="20">
        <v>266</v>
      </c>
      <c r="F36" t="s" s="20">
        <v>18</v>
      </c>
      <c r="G36" t="s" s="16">
        <v>19</v>
      </c>
      <c r="H36" t="s" s="16">
        <v>267</v>
      </c>
      <c r="I36" t="s" s="16">
        <v>268</v>
      </c>
      <c r="J36" t="s" s="16">
        <v>269</v>
      </c>
      <c r="K36" t="s" s="16">
        <v>270</v>
      </c>
      <c r="L36" s="17">
        <f>COUNTIF(言论库!B:B,B36)</f>
        <v/>
      </c>
      <c r="M36" t="s" s="20">
        <v>83</v>
      </c>
      <c r="N36" s="16"/>
    </row>
    <row r="37" ht="28" customHeight="1">
      <c r="A37" s="19">
        <v>35</v>
      </c>
      <c r="B37" t="s" s="19">
        <v>271</v>
      </c>
      <c r="C37" s="19"/>
      <c r="D37" t="s" s="15">
        <v>272</v>
      </c>
      <c r="E37" t="s" s="19">
        <v>273</v>
      </c>
      <c r="F37" t="s" s="19">
        <v>18</v>
      </c>
      <c r="G37" t="s" s="15">
        <v>19</v>
      </c>
      <c r="H37" t="s" s="15">
        <v>274</v>
      </c>
      <c r="I37" t="s" s="15">
        <v>275</v>
      </c>
      <c r="J37" t="s" s="15">
        <v>276</v>
      </c>
      <c r="K37" t="s" s="15">
        <v>277</v>
      </c>
      <c r="L37" s="17">
        <f>COUNTIF(言论库!B:B,B37)</f>
        <v/>
      </c>
      <c r="M37" t="s" s="18">
        <v>24</v>
      </c>
      <c r="N37" s="15"/>
    </row>
    <row r="38" ht="28" customHeight="1">
      <c r="A38" s="20">
        <v>36</v>
      </c>
      <c r="B38" t="s" s="20">
        <v>278</v>
      </c>
      <c r="C38" s="20"/>
      <c r="D38" t="s" s="16">
        <v>279</v>
      </c>
      <c r="E38" t="s" s="20">
        <v>280</v>
      </c>
      <c r="F38" t="s" s="20">
        <v>87</v>
      </c>
      <c r="G38" t="s" s="16">
        <v>19</v>
      </c>
      <c r="H38" t="s" s="16">
        <v>281</v>
      </c>
      <c r="I38" t="s" s="16">
        <v>282</v>
      </c>
      <c r="J38" t="s" s="16">
        <v>283</v>
      </c>
      <c r="K38" t="s" s="16">
        <v>284</v>
      </c>
      <c r="L38" s="17">
        <f>COUNTIF(言论库!B:B,B38)</f>
        <v/>
      </c>
      <c r="M38" t="s" s="20">
        <v>83</v>
      </c>
      <c r="N38" t="s" s="16">
        <v>285</v>
      </c>
    </row>
    <row r="39" ht="28" customHeight="1">
      <c r="A39" s="19">
        <v>37</v>
      </c>
      <c r="B39" t="s" s="19">
        <v>286</v>
      </c>
      <c r="C39" s="19"/>
      <c r="D39" t="s" s="15">
        <v>287</v>
      </c>
      <c r="E39" t="s" s="19">
        <v>288</v>
      </c>
      <c r="F39" t="s" s="19">
        <v>87</v>
      </c>
      <c r="G39" t="s" s="15">
        <v>19</v>
      </c>
      <c r="H39" t="s" s="15">
        <v>289</v>
      </c>
      <c r="I39" t="s" s="15">
        <v>290</v>
      </c>
      <c r="J39" t="s" s="15">
        <v>291</v>
      </c>
      <c r="K39" t="s" s="15">
        <v>292</v>
      </c>
      <c r="L39" s="17">
        <f>COUNTIF(言论库!B:B,B39)</f>
        <v/>
      </c>
      <c r="M39" t="s" s="19">
        <v>83</v>
      </c>
      <c r="N39" t="s" s="15">
        <v>293</v>
      </c>
    </row>
    <row r="40" ht="28" customHeight="1">
      <c r="A40" s="20">
        <v>38</v>
      </c>
      <c r="B40" t="s" s="20">
        <v>294</v>
      </c>
      <c r="C40" s="20"/>
      <c r="D40" t="s" s="16">
        <v>295</v>
      </c>
      <c r="E40" t="s" s="20">
        <v>296</v>
      </c>
      <c r="F40" t="s" s="20">
        <v>87</v>
      </c>
      <c r="G40" t="s" s="16">
        <v>19</v>
      </c>
      <c r="H40" t="s" s="16">
        <v>297</v>
      </c>
      <c r="I40" t="s" s="16">
        <v>298</v>
      </c>
      <c r="J40" t="s" s="16">
        <v>299</v>
      </c>
      <c r="K40" t="s" s="16">
        <v>300</v>
      </c>
      <c r="L40" s="17">
        <f>COUNTIF(言论库!B:B,B40)</f>
        <v/>
      </c>
      <c r="M40" t="s" s="20">
        <v>83</v>
      </c>
      <c r="N40" s="16"/>
    </row>
    <row r="41" ht="28" customHeight="1">
      <c r="A41" s="19">
        <v>39</v>
      </c>
      <c r="B41" t="s" s="19">
        <v>301</v>
      </c>
      <c r="C41" s="19"/>
      <c r="D41" t="s" s="15">
        <v>302</v>
      </c>
      <c r="E41" t="s" s="19">
        <v>303</v>
      </c>
      <c r="F41" t="s" s="19">
        <v>199</v>
      </c>
      <c r="G41" t="s" s="15">
        <v>19</v>
      </c>
      <c r="H41" t="s" s="15">
        <v>304</v>
      </c>
      <c r="I41" t="s" s="15">
        <v>305</v>
      </c>
      <c r="J41" t="s" s="15">
        <v>306</v>
      </c>
      <c r="K41" t="s" s="15">
        <v>307</v>
      </c>
      <c r="L41" s="17">
        <f>COUNTIF(言论库!B:B,B41)</f>
        <v/>
      </c>
      <c r="M41" t="s" s="19">
        <v>308</v>
      </c>
      <c r="N41" s="15"/>
    </row>
    <row r="42" ht="28" customHeight="1">
      <c r="A42" s="20">
        <v>40</v>
      </c>
      <c r="B42" t="s" s="20">
        <v>309</v>
      </c>
      <c r="C42" s="20"/>
      <c r="D42" t="s" s="16">
        <v>310</v>
      </c>
      <c r="E42" t="s" s="20">
        <v>311</v>
      </c>
      <c r="F42" t="s" s="20">
        <v>87</v>
      </c>
      <c r="G42" t="s" s="16">
        <v>19</v>
      </c>
      <c r="H42" t="s" s="16">
        <v>312</v>
      </c>
      <c r="I42" t="s" s="16">
        <v>313</v>
      </c>
      <c r="J42" t="s" s="16">
        <v>314</v>
      </c>
      <c r="K42" t="s" s="16">
        <v>315</v>
      </c>
      <c r="L42" s="17">
        <f>COUNTIF(言论库!B:B,B42)</f>
        <v/>
      </c>
      <c r="M42" t="s" s="20">
        <v>308</v>
      </c>
      <c r="N42" s="16"/>
    </row>
    <row r="43" ht="28" customHeight="1">
      <c r="A43" s="19">
        <v>41</v>
      </c>
      <c r="B43" t="s" s="19">
        <v>316</v>
      </c>
      <c r="C43" s="19"/>
      <c r="D43" t="s" s="15">
        <v>317</v>
      </c>
      <c r="E43" t="s" s="19">
        <v>318</v>
      </c>
      <c r="F43" t="s" s="19">
        <v>18</v>
      </c>
      <c r="G43" t="s" s="15">
        <v>19</v>
      </c>
      <c r="H43" t="s" s="15">
        <v>319</v>
      </c>
      <c r="I43" t="s" s="15">
        <v>320</v>
      </c>
      <c r="J43" t="s" s="15">
        <v>321</v>
      </c>
      <c r="K43" t="s" s="15">
        <v>322</v>
      </c>
      <c r="L43" s="17">
        <f>COUNTIF(言论库!B:B,B43)</f>
        <v/>
      </c>
      <c r="M43" t="s" s="19">
        <v>83</v>
      </c>
      <c r="N43" t="s" s="15">
        <v>323</v>
      </c>
    </row>
    <row r="44" ht="28" customHeight="1">
      <c r="A44" s="20">
        <v>42</v>
      </c>
      <c r="B44" t="s" s="20">
        <v>324</v>
      </c>
      <c r="C44" s="20"/>
      <c r="D44" t="s" s="16">
        <v>325</v>
      </c>
      <c r="E44" t="s" s="20">
        <v>326</v>
      </c>
      <c r="F44" t="s" s="20">
        <v>18</v>
      </c>
      <c r="G44" t="s" s="16">
        <v>146</v>
      </c>
      <c r="H44" t="s" s="16">
        <v>327</v>
      </c>
      <c r="I44" t="s" s="16">
        <v>328</v>
      </c>
      <c r="J44" t="s" s="16">
        <v>329</v>
      </c>
      <c r="K44" t="s" s="16">
        <v>330</v>
      </c>
      <c r="L44" s="17">
        <f>COUNTIF(言论库!B:B,B44)</f>
        <v/>
      </c>
      <c r="M44" t="s" s="21">
        <v>24</v>
      </c>
      <c r="N44" t="s" s="16">
        <v>331</v>
      </c>
    </row>
    <row r="45" ht="28" customHeight="1">
      <c r="A45" s="19">
        <v>43</v>
      </c>
      <c r="B45" t="s" s="19">
        <v>332</v>
      </c>
      <c r="C45" s="19"/>
      <c r="D45" t="s" s="15">
        <v>333</v>
      </c>
      <c r="E45" t="s" s="19">
        <v>334</v>
      </c>
      <c r="F45" t="s" s="19">
        <v>18</v>
      </c>
      <c r="G45" t="s" s="15">
        <v>146</v>
      </c>
      <c r="H45" t="s" s="15">
        <v>335</v>
      </c>
      <c r="I45" t="s" s="15">
        <v>336</v>
      </c>
      <c r="J45" t="s" s="15">
        <v>337</v>
      </c>
      <c r="K45" t="s" s="15">
        <v>338</v>
      </c>
      <c r="L45" s="17">
        <f>COUNTIF(言论库!B:B,B45)</f>
        <v/>
      </c>
      <c r="M45" t="s" s="19">
        <v>83</v>
      </c>
      <c r="N45" s="15"/>
    </row>
    <row r="46" ht="28" customHeight="1">
      <c r="A46" s="20">
        <v>44</v>
      </c>
      <c r="B46" t="s" s="20">
        <v>339</v>
      </c>
      <c r="C46" s="20"/>
      <c r="D46" t="s" s="16">
        <v>340</v>
      </c>
      <c r="E46" t="s" s="20">
        <v>341</v>
      </c>
      <c r="F46" t="s" s="20">
        <v>207</v>
      </c>
      <c r="G46" t="s" s="16">
        <v>146</v>
      </c>
      <c r="H46" t="s" s="16">
        <v>342</v>
      </c>
      <c r="I46" t="s" s="16">
        <v>343</v>
      </c>
      <c r="J46" t="s" s="16">
        <v>344</v>
      </c>
      <c r="K46" t="s" s="16">
        <v>345</v>
      </c>
      <c r="L46" s="17">
        <f>COUNTIF(言论库!B:B,B46)</f>
        <v/>
      </c>
      <c r="M46" t="s" s="21">
        <v>24</v>
      </c>
      <c r="N46" t="s" s="16">
        <v>346</v>
      </c>
    </row>
    <row r="47" ht="28" customHeight="1">
      <c r="A47" s="19">
        <v>45</v>
      </c>
      <c r="B47" t="s" s="19">
        <v>347</v>
      </c>
      <c r="C47" s="19"/>
      <c r="D47" t="s" s="15">
        <v>348</v>
      </c>
      <c r="E47" t="s" s="19">
        <v>349</v>
      </c>
      <c r="F47" t="s" s="19">
        <v>18</v>
      </c>
      <c r="G47" t="s" s="15">
        <v>146</v>
      </c>
      <c r="H47" t="s" s="15">
        <v>350</v>
      </c>
      <c r="I47" t="s" s="15">
        <v>351</v>
      </c>
      <c r="J47" t="s" s="15">
        <v>352</v>
      </c>
      <c r="K47" t="s" s="15">
        <v>353</v>
      </c>
      <c r="L47" s="17">
        <f>COUNTIF(言论库!B:B,B47)</f>
        <v/>
      </c>
      <c r="M47" t="s" s="18">
        <v>24</v>
      </c>
      <c r="N47" t="s" s="15">
        <v>354</v>
      </c>
    </row>
    <row r="48" ht="28" customHeight="1">
      <c r="A48" s="20">
        <v>46</v>
      </c>
      <c r="B48" t="s" s="20">
        <v>355</v>
      </c>
      <c r="C48" s="20"/>
      <c r="D48" t="s" s="16">
        <v>356</v>
      </c>
      <c r="E48" t="s" s="20">
        <v>357</v>
      </c>
      <c r="F48" t="s" s="20">
        <v>18</v>
      </c>
      <c r="G48" t="s" s="16">
        <v>146</v>
      </c>
      <c r="H48" t="s" s="16">
        <v>358</v>
      </c>
      <c r="I48" t="s" s="16">
        <v>359</v>
      </c>
      <c r="J48" t="s" s="16">
        <v>360</v>
      </c>
      <c r="K48" t="s" s="16">
        <v>361</v>
      </c>
      <c r="L48" s="17">
        <f>COUNTIF(言论库!B:B,B48)</f>
        <v/>
      </c>
      <c r="M48" t="s" s="20">
        <v>83</v>
      </c>
      <c r="N48" t="s" s="16">
        <v>362</v>
      </c>
    </row>
    <row r="49" ht="28" customHeight="1">
      <c r="A49" s="19">
        <v>47</v>
      </c>
      <c r="B49" t="s" s="19">
        <v>363</v>
      </c>
      <c r="C49" t="s" s="19">
        <v>364</v>
      </c>
      <c r="D49" t="s" s="15">
        <v>365</v>
      </c>
      <c r="E49" t="s" s="19">
        <v>366</v>
      </c>
      <c r="F49" t="s" s="19">
        <v>199</v>
      </c>
      <c r="G49" t="s" s="15">
        <v>146</v>
      </c>
      <c r="H49" t="s" s="15">
        <v>367</v>
      </c>
      <c r="I49" t="s" s="15">
        <v>368</v>
      </c>
      <c r="J49" t="s" s="15">
        <v>369</v>
      </c>
      <c r="K49" t="s" s="15">
        <v>370</v>
      </c>
      <c r="L49" s="17">
        <f>COUNTIF(言论库!B:B,B49)</f>
        <v/>
      </c>
      <c r="M49" t="s" s="18">
        <v>24</v>
      </c>
      <c r="N49" t="s" s="15">
        <v>371</v>
      </c>
    </row>
    <row r="50" ht="28" customHeight="1">
      <c r="A50" s="20">
        <v>48</v>
      </c>
      <c r="B50" t="s" s="20">
        <v>372</v>
      </c>
      <c r="C50" s="20"/>
      <c r="D50" t="s" s="16">
        <v>373</v>
      </c>
      <c r="E50" t="s" s="20">
        <v>374</v>
      </c>
      <c r="F50" t="s" s="20">
        <v>199</v>
      </c>
      <c r="G50" t="s" s="16">
        <v>146</v>
      </c>
      <c r="H50" t="s" s="16">
        <v>375</v>
      </c>
      <c r="I50" t="s" s="16">
        <v>376</v>
      </c>
      <c r="J50" t="s" s="16">
        <v>377</v>
      </c>
      <c r="K50" t="s" s="16">
        <v>378</v>
      </c>
      <c r="L50" s="17">
        <f>COUNTIF(言论库!B:B,B50)</f>
        <v/>
      </c>
      <c r="M50" t="s" s="20">
        <v>83</v>
      </c>
      <c r="N50" s="16"/>
    </row>
    <row r="51" ht="28" customHeight="1">
      <c r="A51" s="19">
        <v>49</v>
      </c>
      <c r="B51" t="s" s="19">
        <v>379</v>
      </c>
      <c r="C51" s="19"/>
      <c r="D51" t="s" s="15">
        <v>380</v>
      </c>
      <c r="E51" t="s" s="19">
        <v>381</v>
      </c>
      <c r="F51" t="s" s="19">
        <v>199</v>
      </c>
      <c r="G51" t="s" s="15">
        <v>146</v>
      </c>
      <c r="H51" t="s" s="15">
        <v>382</v>
      </c>
      <c r="I51" t="s" s="15">
        <v>383</v>
      </c>
      <c r="J51" t="s" s="15">
        <v>384</v>
      </c>
      <c r="K51" t="s" s="15">
        <v>385</v>
      </c>
      <c r="L51" s="17">
        <f>COUNTIF(言论库!B:B,B51)</f>
        <v/>
      </c>
      <c r="M51" t="s" s="19">
        <v>308</v>
      </c>
      <c r="N51" s="15"/>
    </row>
    <row r="52" ht="28" customHeight="1">
      <c r="A52" s="20">
        <v>50</v>
      </c>
      <c r="B52" t="s" s="20">
        <v>386</v>
      </c>
      <c r="C52" s="20"/>
      <c r="D52" t="s" s="16">
        <v>387</v>
      </c>
      <c r="E52" t="s" s="20">
        <v>388</v>
      </c>
      <c r="F52" t="s" s="20">
        <v>199</v>
      </c>
      <c r="G52" t="s" s="16">
        <v>146</v>
      </c>
      <c r="H52" t="s" s="16">
        <v>389</v>
      </c>
      <c r="I52" t="s" s="16">
        <v>390</v>
      </c>
      <c r="J52" t="s" s="16">
        <v>391</v>
      </c>
      <c r="K52" t="s" s="16">
        <v>392</v>
      </c>
      <c r="L52" s="17">
        <f>COUNTIF(言论库!B:B,B52)</f>
        <v/>
      </c>
      <c r="M52" t="s" s="20">
        <v>83</v>
      </c>
      <c r="N52" s="16"/>
    </row>
    <row r="53" ht="28" customHeight="1">
      <c r="A53" s="19">
        <v>51</v>
      </c>
      <c r="B53" t="s" s="19">
        <v>393</v>
      </c>
      <c r="C53" s="19"/>
      <c r="D53" t="s" s="15">
        <v>394</v>
      </c>
      <c r="E53" t="s" s="19">
        <v>395</v>
      </c>
      <c r="F53" t="s" s="19">
        <v>199</v>
      </c>
      <c r="G53" t="s" s="15">
        <v>146</v>
      </c>
      <c r="H53" t="s" s="15">
        <v>396</v>
      </c>
      <c r="I53" t="s" s="15">
        <v>397</v>
      </c>
      <c r="J53" t="s" s="15">
        <v>398</v>
      </c>
      <c r="K53" t="s" s="15">
        <v>392</v>
      </c>
      <c r="L53" s="17">
        <f>COUNTIF(言论库!B:B,B53)</f>
        <v/>
      </c>
      <c r="M53" t="s" s="19">
        <v>83</v>
      </c>
      <c r="N53" s="15"/>
    </row>
    <row r="54" ht="28" customHeight="1">
      <c r="A54" s="20">
        <v>52</v>
      </c>
      <c r="B54" t="s" s="20">
        <v>399</v>
      </c>
      <c r="C54" s="20"/>
      <c r="D54" t="s" s="16">
        <v>400</v>
      </c>
      <c r="E54" t="s" s="20">
        <v>401</v>
      </c>
      <c r="F54" t="s" s="20">
        <v>199</v>
      </c>
      <c r="G54" t="s" s="16">
        <v>146</v>
      </c>
      <c r="H54" t="s" s="16">
        <v>402</v>
      </c>
      <c r="I54" t="s" s="16">
        <v>403</v>
      </c>
      <c r="J54" t="s" s="16">
        <v>404</v>
      </c>
      <c r="K54" t="s" s="16">
        <v>392</v>
      </c>
      <c r="L54" s="17">
        <f>COUNTIF(言论库!B:B,B54)</f>
        <v/>
      </c>
      <c r="M54" t="s" s="20">
        <v>83</v>
      </c>
      <c r="N54" s="16"/>
    </row>
    <row r="55" ht="28" customHeight="1">
      <c r="A55" s="19">
        <v>53</v>
      </c>
      <c r="B55" t="s" s="19">
        <v>405</v>
      </c>
      <c r="C55" s="19"/>
      <c r="D55" t="s" s="15">
        <v>406</v>
      </c>
      <c r="E55" t="s" s="19">
        <v>407</v>
      </c>
      <c r="F55" t="s" s="19">
        <v>207</v>
      </c>
      <c r="G55" t="s" s="15">
        <v>146</v>
      </c>
      <c r="H55" t="s" s="15">
        <v>408</v>
      </c>
      <c r="I55" t="s" s="15">
        <v>409</v>
      </c>
      <c r="J55" t="s" s="15">
        <v>410</v>
      </c>
      <c r="K55" t="s" s="15">
        <v>411</v>
      </c>
      <c r="L55" s="17">
        <f>COUNTIF(言论库!B:B,B55)</f>
        <v/>
      </c>
      <c r="M55" t="s" s="18">
        <v>24</v>
      </c>
      <c r="N55" t="s" s="15">
        <v>412</v>
      </c>
    </row>
    <row r="56" ht="28" customHeight="1">
      <c r="A56" s="20">
        <v>54</v>
      </c>
      <c r="B56" t="s" s="20">
        <v>413</v>
      </c>
      <c r="C56" s="20"/>
      <c r="D56" t="s" s="16">
        <v>414</v>
      </c>
      <c r="E56" t="s" s="20">
        <v>415</v>
      </c>
      <c r="F56" t="s" s="20">
        <v>102</v>
      </c>
      <c r="G56" t="s" s="16">
        <v>146</v>
      </c>
      <c r="H56" t="s" s="16">
        <v>416</v>
      </c>
      <c r="I56" t="s" s="16">
        <v>417</v>
      </c>
      <c r="J56" t="s" s="16">
        <v>418</v>
      </c>
      <c r="K56" t="s" s="16">
        <v>419</v>
      </c>
      <c r="L56" s="17">
        <f>COUNTIF(言论库!B:B,B56)</f>
        <v/>
      </c>
      <c r="M56" t="s" s="21">
        <v>24</v>
      </c>
      <c r="N56" t="s" s="16">
        <v>420</v>
      </c>
    </row>
    <row r="57" ht="28" customHeight="1">
      <c r="A57" s="19">
        <v>55</v>
      </c>
      <c r="B57" t="s" s="19">
        <v>421</v>
      </c>
      <c r="C57" s="19"/>
      <c r="D57" t="s" s="15">
        <v>422</v>
      </c>
      <c r="E57" t="s" s="19">
        <v>423</v>
      </c>
      <c r="F57" t="s" s="19">
        <v>102</v>
      </c>
      <c r="G57" t="s" s="15">
        <v>146</v>
      </c>
      <c r="H57" t="s" s="15">
        <v>424</v>
      </c>
      <c r="I57" t="s" s="15">
        <v>425</v>
      </c>
      <c r="J57" t="s" s="15">
        <v>426</v>
      </c>
      <c r="K57" t="s" s="15">
        <v>427</v>
      </c>
      <c r="L57" s="17">
        <f>COUNTIF(言论库!B:B,B57)</f>
        <v/>
      </c>
      <c r="M57" t="s" s="18">
        <v>24</v>
      </c>
      <c r="N57" t="s" s="15">
        <v>428</v>
      </c>
    </row>
    <row r="58" ht="28" customHeight="1">
      <c r="A58" s="20">
        <v>56</v>
      </c>
      <c r="B58" t="s" s="20">
        <v>429</v>
      </c>
      <c r="C58" s="20"/>
      <c r="D58" t="s" s="16">
        <v>430</v>
      </c>
      <c r="E58" t="s" s="20">
        <v>431</v>
      </c>
      <c r="F58" t="s" s="20">
        <v>102</v>
      </c>
      <c r="G58" t="s" s="16">
        <v>146</v>
      </c>
      <c r="H58" t="s" s="16">
        <v>432</v>
      </c>
      <c r="I58" t="s" s="16">
        <v>433</v>
      </c>
      <c r="J58" t="s" s="16">
        <v>434</v>
      </c>
      <c r="K58" t="s" s="16">
        <v>435</v>
      </c>
      <c r="L58" s="17">
        <f>COUNTIF(言论库!B:B,B58)</f>
        <v/>
      </c>
      <c r="M58" t="s" s="21">
        <v>24</v>
      </c>
      <c r="N58" s="16"/>
    </row>
    <row r="59" ht="28" customHeight="1">
      <c r="A59" s="19">
        <v>57</v>
      </c>
      <c r="B59" t="s" s="19">
        <v>436</v>
      </c>
      <c r="C59" s="19"/>
      <c r="D59" t="s" s="15">
        <v>437</v>
      </c>
      <c r="E59" t="s" s="19">
        <v>438</v>
      </c>
      <c r="F59" t="s" s="19">
        <v>102</v>
      </c>
      <c r="G59" t="s" s="15">
        <v>146</v>
      </c>
      <c r="H59" t="s" s="15">
        <v>439</v>
      </c>
      <c r="I59" t="s" s="15">
        <v>440</v>
      </c>
      <c r="J59" t="s" s="15">
        <v>441</v>
      </c>
      <c r="K59" t="s" s="15">
        <v>392</v>
      </c>
      <c r="L59" s="17">
        <f>COUNTIF(言论库!B:B,B59)</f>
        <v/>
      </c>
      <c r="M59" t="s" s="19">
        <v>83</v>
      </c>
      <c r="N59" s="15"/>
    </row>
    <row r="60" ht="28" customHeight="1">
      <c r="A60" s="20">
        <v>58</v>
      </c>
      <c r="B60" t="s" s="20">
        <v>442</v>
      </c>
      <c r="C60" s="20"/>
      <c r="D60" t="s" s="16">
        <v>443</v>
      </c>
      <c r="E60" t="s" s="20">
        <v>444</v>
      </c>
      <c r="F60" t="s" s="20">
        <v>102</v>
      </c>
      <c r="G60" t="s" s="16">
        <v>146</v>
      </c>
      <c r="H60" t="s" s="16">
        <v>445</v>
      </c>
      <c r="I60" t="s" s="16">
        <v>446</v>
      </c>
      <c r="J60" t="s" s="16">
        <v>447</v>
      </c>
      <c r="K60" t="s" s="16">
        <v>378</v>
      </c>
      <c r="L60" s="17">
        <f>COUNTIF(言论库!B:B,B60)</f>
        <v/>
      </c>
      <c r="M60" t="s" s="20">
        <v>308</v>
      </c>
      <c r="N60" s="16"/>
    </row>
    <row r="61" ht="28" customHeight="1">
      <c r="A61" s="19">
        <v>59</v>
      </c>
      <c r="B61" t="s" s="19">
        <v>448</v>
      </c>
      <c r="C61" s="19"/>
      <c r="D61" t="s" s="15">
        <v>449</v>
      </c>
      <c r="E61" t="s" s="19">
        <v>450</v>
      </c>
      <c r="F61" t="s" s="19">
        <v>102</v>
      </c>
      <c r="G61" t="s" s="15">
        <v>146</v>
      </c>
      <c r="H61" t="s" s="15">
        <v>451</v>
      </c>
      <c r="I61" t="s" s="15">
        <v>452</v>
      </c>
      <c r="J61" t="s" s="15">
        <v>453</v>
      </c>
      <c r="K61" t="s" s="15">
        <v>392</v>
      </c>
      <c r="L61" s="17">
        <f>COUNTIF(言论库!B:B,B61)</f>
        <v/>
      </c>
      <c r="M61" t="s" s="19">
        <v>308</v>
      </c>
      <c r="N61" s="15"/>
    </row>
    <row r="62" ht="28" customHeight="1">
      <c r="A62" s="20">
        <v>60</v>
      </c>
      <c r="B62" t="s" s="20">
        <v>454</v>
      </c>
      <c r="C62" s="20"/>
      <c r="D62" t="s" s="16">
        <v>455</v>
      </c>
      <c r="E62" t="s" s="20">
        <v>456</v>
      </c>
      <c r="F62" t="s" s="20">
        <v>102</v>
      </c>
      <c r="G62" t="s" s="16">
        <v>146</v>
      </c>
      <c r="H62" t="s" s="16">
        <v>457</v>
      </c>
      <c r="I62" t="s" s="16">
        <v>458</v>
      </c>
      <c r="J62" t="s" s="16">
        <v>459</v>
      </c>
      <c r="K62" t="s" s="16">
        <v>460</v>
      </c>
      <c r="L62" s="17">
        <f>COUNTIF(言论库!B:B,B62)</f>
        <v/>
      </c>
      <c r="M62" t="s" s="20">
        <v>308</v>
      </c>
      <c r="N62" t="s" s="16">
        <v>461</v>
      </c>
    </row>
    <row r="63" ht="28" customHeight="1">
      <c r="A63" s="19">
        <v>61</v>
      </c>
      <c r="B63" t="s" s="19">
        <v>462</v>
      </c>
      <c r="C63" s="19"/>
      <c r="D63" t="s" s="15">
        <v>463</v>
      </c>
      <c r="E63" t="s" s="19">
        <v>464</v>
      </c>
      <c r="F63" t="s" s="19">
        <v>102</v>
      </c>
      <c r="G63" t="s" s="15">
        <v>146</v>
      </c>
      <c r="H63" t="s" s="15">
        <v>465</v>
      </c>
      <c r="I63" t="s" s="15">
        <v>466</v>
      </c>
      <c r="J63" t="s" s="15">
        <v>467</v>
      </c>
      <c r="K63" t="s" s="15">
        <v>392</v>
      </c>
      <c r="L63" s="17">
        <f>COUNTIF(言论库!B:B,B63)</f>
        <v/>
      </c>
      <c r="M63" t="s" s="19">
        <v>83</v>
      </c>
      <c r="N63" s="15"/>
    </row>
    <row r="64" ht="28" customHeight="1">
      <c r="A64" s="20">
        <v>62</v>
      </c>
      <c r="B64" t="s" s="20">
        <v>468</v>
      </c>
      <c r="C64" s="20"/>
      <c r="D64" t="s" s="16">
        <v>469</v>
      </c>
      <c r="E64" t="s" s="20">
        <v>470</v>
      </c>
      <c r="F64" t="s" s="20">
        <v>87</v>
      </c>
      <c r="G64" t="s" s="16">
        <v>146</v>
      </c>
      <c r="H64" t="s" s="16">
        <v>471</v>
      </c>
      <c r="I64" t="s" s="16">
        <v>472</v>
      </c>
      <c r="J64" t="s" s="16">
        <v>473</v>
      </c>
      <c r="K64" t="s" s="16">
        <v>474</v>
      </c>
      <c r="L64" s="17">
        <f>COUNTIF(言论库!B:B,B64)</f>
        <v/>
      </c>
      <c r="M64" t="s" s="21">
        <v>24</v>
      </c>
      <c r="N64" s="16"/>
    </row>
    <row r="65" ht="28" customHeight="1">
      <c r="A65" s="19">
        <v>63</v>
      </c>
      <c r="B65" t="s" s="19">
        <v>475</v>
      </c>
      <c r="C65" s="19"/>
      <c r="D65" t="s" s="15">
        <v>476</v>
      </c>
      <c r="E65" t="s" s="19">
        <v>477</v>
      </c>
      <c r="F65" t="s" s="19">
        <v>87</v>
      </c>
      <c r="G65" t="s" s="15">
        <v>146</v>
      </c>
      <c r="H65" t="s" s="15">
        <v>478</v>
      </c>
      <c r="I65" t="s" s="15">
        <v>479</v>
      </c>
      <c r="J65" t="s" s="15">
        <v>480</v>
      </c>
      <c r="K65" t="s" s="15">
        <v>315</v>
      </c>
      <c r="L65" s="17">
        <f>COUNTIF(言论库!B:B,B65)</f>
        <v/>
      </c>
      <c r="M65" t="s" s="19">
        <v>83</v>
      </c>
      <c r="N65" t="s" s="15">
        <v>481</v>
      </c>
    </row>
    <row r="66" ht="28" customHeight="1">
      <c r="A66" s="20">
        <v>64</v>
      </c>
      <c r="B66" t="s" s="20">
        <v>482</v>
      </c>
      <c r="C66" s="20"/>
      <c r="D66" t="s" s="16">
        <v>483</v>
      </c>
      <c r="E66" t="s" s="20">
        <v>484</v>
      </c>
      <c r="F66" t="s" s="20">
        <v>87</v>
      </c>
      <c r="G66" t="s" s="16">
        <v>146</v>
      </c>
      <c r="H66" t="s" s="16">
        <v>485</v>
      </c>
      <c r="I66" t="s" s="16">
        <v>486</v>
      </c>
      <c r="J66" t="s" s="16">
        <v>487</v>
      </c>
      <c r="K66" t="s" s="16">
        <v>488</v>
      </c>
      <c r="L66" s="17">
        <f>COUNTIF(言论库!B:B,B66)</f>
        <v/>
      </c>
      <c r="M66" t="s" s="20">
        <v>308</v>
      </c>
      <c r="N66" s="16"/>
    </row>
    <row r="67" ht="28" customHeight="1">
      <c r="A67" s="19">
        <v>65</v>
      </c>
      <c r="B67" t="s" s="19">
        <v>489</v>
      </c>
      <c r="C67" s="19"/>
      <c r="D67" t="s" s="15">
        <v>490</v>
      </c>
      <c r="E67" t="s" s="19">
        <v>491</v>
      </c>
      <c r="F67" t="s" s="19">
        <v>18</v>
      </c>
      <c r="G67" t="s" s="15">
        <v>146</v>
      </c>
      <c r="H67" t="s" s="15">
        <v>492</v>
      </c>
      <c r="I67" t="s" s="15">
        <v>493</v>
      </c>
      <c r="J67" t="s" s="15">
        <v>494</v>
      </c>
      <c r="K67" t="s" s="15">
        <v>495</v>
      </c>
      <c r="L67" s="17">
        <f>COUNTIF(言论库!B:B,B67)</f>
        <v/>
      </c>
      <c r="M67" t="s" s="19">
        <v>308</v>
      </c>
      <c r="N67" s="15"/>
    </row>
    <row r="68" ht="28" customHeight="1">
      <c r="A68" s="20">
        <v>66</v>
      </c>
      <c r="B68" t="s" s="20">
        <v>496</v>
      </c>
      <c r="C68" s="20"/>
      <c r="D68" t="s" s="16">
        <v>497</v>
      </c>
      <c r="E68" t="s" s="20">
        <v>498</v>
      </c>
      <c r="F68" t="s" s="20">
        <v>499</v>
      </c>
      <c r="G68" t="s" s="16">
        <v>146</v>
      </c>
      <c r="H68" t="s" s="16">
        <v>500</v>
      </c>
      <c r="I68" t="s" s="16">
        <v>501</v>
      </c>
      <c r="J68" t="s" s="16">
        <v>502</v>
      </c>
      <c r="K68" t="s" s="16">
        <v>392</v>
      </c>
      <c r="L68" s="17">
        <f>COUNTIF(言论库!B:B,B68)</f>
        <v/>
      </c>
      <c r="M68" t="s" s="20">
        <v>83</v>
      </c>
      <c r="N68" s="16"/>
    </row>
    <row r="69" ht="28" customHeight="1">
      <c r="A69" s="19">
        <v>67</v>
      </c>
      <c r="B69" t="s" s="19">
        <v>503</v>
      </c>
      <c r="C69" s="19"/>
      <c r="D69" t="s" s="15">
        <v>504</v>
      </c>
      <c r="E69" t="s" s="19">
        <v>505</v>
      </c>
      <c r="F69" t="s" s="19">
        <v>18</v>
      </c>
      <c r="G69" t="s" s="15">
        <v>146</v>
      </c>
      <c r="H69" t="s" s="15">
        <v>506</v>
      </c>
      <c r="I69" t="s" s="15">
        <v>507</v>
      </c>
      <c r="J69" t="s" s="15">
        <v>508</v>
      </c>
      <c r="K69" t="s" s="15">
        <v>509</v>
      </c>
      <c r="L69" s="17">
        <f>COUNTIF(言论库!B:B,B69)</f>
        <v/>
      </c>
      <c r="M69" t="s" s="19">
        <v>83</v>
      </c>
      <c r="N69" s="15"/>
    </row>
    <row r="70" ht="28" customHeight="1">
      <c r="A70" s="20">
        <v>68</v>
      </c>
      <c r="B70" t="s" s="20">
        <v>510</v>
      </c>
      <c r="C70" s="20"/>
      <c r="D70" t="s" s="16">
        <v>511</v>
      </c>
      <c r="E70" t="s" s="20">
        <v>512</v>
      </c>
      <c r="F70" t="s" s="20">
        <v>499</v>
      </c>
      <c r="G70" t="s" s="16">
        <v>146</v>
      </c>
      <c r="H70" t="s" s="16">
        <v>513</v>
      </c>
      <c r="I70" t="s" s="16">
        <v>514</v>
      </c>
      <c r="J70" t="s" s="16">
        <v>515</v>
      </c>
      <c r="K70" t="s" s="16">
        <v>516</v>
      </c>
      <c r="L70" s="17">
        <f>COUNTIF(言论库!B:B,B70)</f>
        <v/>
      </c>
      <c r="M70" t="s" s="20">
        <v>308</v>
      </c>
      <c r="N70" s="16"/>
    </row>
    <row r="71" ht="28" customHeight="1">
      <c r="A71" s="19">
        <v>69</v>
      </c>
      <c r="B71" t="s" s="19">
        <v>517</v>
      </c>
      <c r="C71" t="s" s="19">
        <v>518</v>
      </c>
      <c r="D71" t="s" s="15">
        <v>519</v>
      </c>
      <c r="E71" t="s" s="19">
        <v>520</v>
      </c>
      <c r="F71" t="s" s="19">
        <v>199</v>
      </c>
      <c r="G71" t="s" s="15">
        <v>146</v>
      </c>
      <c r="H71" t="s" s="15">
        <v>521</v>
      </c>
      <c r="I71" t="s" s="15">
        <v>522</v>
      </c>
      <c r="J71" t="s" s="15">
        <v>523</v>
      </c>
      <c r="K71" t="s" s="15">
        <v>524</v>
      </c>
      <c r="L71" s="17">
        <f>COUNTIF(言论库!B:B,B71)</f>
        <v/>
      </c>
      <c r="M71" t="s" s="18">
        <v>24</v>
      </c>
      <c r="N71" s="15"/>
    </row>
    <row r="72" ht="28" customHeight="1">
      <c r="A72" s="20">
        <v>70</v>
      </c>
      <c r="B72" t="s" s="20">
        <v>525</v>
      </c>
      <c r="C72" s="20"/>
      <c r="D72" t="s" s="16">
        <v>526</v>
      </c>
      <c r="E72" t="s" s="20">
        <v>527</v>
      </c>
      <c r="F72" t="s" s="20">
        <v>18</v>
      </c>
      <c r="G72" t="s" s="16">
        <v>146</v>
      </c>
      <c r="H72" t="s" s="16">
        <v>528</v>
      </c>
      <c r="I72" t="s" s="16">
        <v>529</v>
      </c>
      <c r="J72" t="s" s="16">
        <v>530</v>
      </c>
      <c r="K72" t="s" s="16">
        <v>338</v>
      </c>
      <c r="L72" s="17">
        <f>COUNTIF(言论库!B:B,B72)</f>
        <v/>
      </c>
      <c r="M72" t="s" s="20">
        <v>83</v>
      </c>
      <c r="N72" s="16"/>
    </row>
    <row r="73" ht="28" customHeight="1">
      <c r="A73" s="19">
        <v>71</v>
      </c>
      <c r="B73" t="s" s="19">
        <v>531</v>
      </c>
      <c r="C73" s="19"/>
      <c r="D73" t="s" s="15">
        <v>532</v>
      </c>
      <c r="E73" t="s" s="19">
        <v>533</v>
      </c>
      <c r="F73" t="s" s="19">
        <v>18</v>
      </c>
      <c r="G73" t="s" s="15">
        <v>146</v>
      </c>
      <c r="H73" t="s" s="15">
        <v>534</v>
      </c>
      <c r="I73" t="s" s="15">
        <v>535</v>
      </c>
      <c r="J73" t="s" s="15">
        <v>536</v>
      </c>
      <c r="K73" t="s" s="15">
        <v>516</v>
      </c>
      <c r="L73" s="17">
        <f>COUNTIF(言论库!B:B,B73)</f>
        <v/>
      </c>
      <c r="M73" t="s" s="19">
        <v>83</v>
      </c>
      <c r="N73" s="15"/>
    </row>
    <row r="74" ht="28" customHeight="1">
      <c r="A74" s="20">
        <v>72</v>
      </c>
      <c r="B74" t="s" s="20">
        <v>537</v>
      </c>
      <c r="C74" s="20"/>
      <c r="D74" t="s" s="16">
        <v>538</v>
      </c>
      <c r="E74" t="s" s="20">
        <v>539</v>
      </c>
      <c r="F74" t="s" s="20">
        <v>499</v>
      </c>
      <c r="G74" t="s" s="16">
        <v>146</v>
      </c>
      <c r="H74" t="s" s="16">
        <v>540</v>
      </c>
      <c r="I74" t="s" s="16">
        <v>541</v>
      </c>
      <c r="J74" t="s" s="16">
        <v>542</v>
      </c>
      <c r="K74" t="s" s="16">
        <v>315</v>
      </c>
      <c r="L74" s="17">
        <f>COUNTIF(言论库!B:B,B74)</f>
        <v/>
      </c>
      <c r="M74" t="s" s="20">
        <v>83</v>
      </c>
      <c r="N74" t="s" s="16">
        <v>543</v>
      </c>
    </row>
    <row r="75" ht="28" customHeight="1">
      <c r="A75" s="19">
        <v>73</v>
      </c>
      <c r="B75" t="s" s="19">
        <v>544</v>
      </c>
      <c r="C75" s="19"/>
      <c r="D75" t="s" s="15">
        <v>545</v>
      </c>
      <c r="E75" t="s" s="19">
        <v>546</v>
      </c>
      <c r="F75" t="s" s="19">
        <v>87</v>
      </c>
      <c r="G75" t="s" s="15">
        <v>146</v>
      </c>
      <c r="H75" t="s" s="15">
        <v>547</v>
      </c>
      <c r="I75" t="s" s="15">
        <v>548</v>
      </c>
      <c r="J75" t="s" s="15">
        <v>549</v>
      </c>
      <c r="K75" t="s" s="15">
        <v>338</v>
      </c>
      <c r="L75" s="17">
        <f>COUNTIF(言论库!B:B,B75)</f>
        <v/>
      </c>
      <c r="M75" t="s" s="19">
        <v>83</v>
      </c>
      <c r="N75" s="15"/>
    </row>
    <row r="76" ht="28" customHeight="1">
      <c r="A76" s="20">
        <v>74</v>
      </c>
      <c r="B76" t="s" s="20">
        <v>550</v>
      </c>
      <c r="C76" s="20"/>
      <c r="D76" t="s" s="16">
        <v>551</v>
      </c>
      <c r="E76" t="s" s="20">
        <v>552</v>
      </c>
      <c r="F76" t="s" s="20">
        <v>56</v>
      </c>
      <c r="G76" t="s" s="16">
        <v>146</v>
      </c>
      <c r="H76" t="s" s="16">
        <v>553</v>
      </c>
      <c r="I76" t="s" s="16">
        <v>554</v>
      </c>
      <c r="J76" t="s" s="16">
        <v>555</v>
      </c>
      <c r="K76" t="s" s="16">
        <v>378</v>
      </c>
      <c r="L76" s="17">
        <f>COUNTIF(言论库!B:B,B76)</f>
        <v/>
      </c>
      <c r="M76" t="s" s="20">
        <v>83</v>
      </c>
      <c r="N76" s="16"/>
    </row>
    <row r="77" ht="28" customHeight="1">
      <c r="A77" s="19">
        <v>75</v>
      </c>
      <c r="B77" t="s" s="19">
        <v>556</v>
      </c>
      <c r="C77" s="19"/>
      <c r="D77" t="s" s="15">
        <v>557</v>
      </c>
      <c r="E77" t="s" s="19">
        <v>558</v>
      </c>
      <c r="F77" t="s" s="19">
        <v>207</v>
      </c>
      <c r="G77" t="s" s="15">
        <v>146</v>
      </c>
      <c r="H77" t="s" s="15">
        <v>559</v>
      </c>
      <c r="I77" t="s" s="15">
        <v>560</v>
      </c>
      <c r="J77" t="s" s="15">
        <v>561</v>
      </c>
      <c r="K77" t="s" s="15">
        <v>562</v>
      </c>
      <c r="L77" s="17">
        <f>COUNTIF(言论库!B:B,B77)</f>
        <v/>
      </c>
      <c r="M77" t="s" s="18">
        <v>24</v>
      </c>
      <c r="N77" t="s" s="15">
        <v>563</v>
      </c>
    </row>
    <row r="78" ht="28" customHeight="1">
      <c r="A78" s="20">
        <v>76</v>
      </c>
      <c r="B78" t="s" s="20">
        <v>564</v>
      </c>
      <c r="C78" s="20"/>
      <c r="D78" t="s" s="16">
        <v>565</v>
      </c>
      <c r="E78" t="s" s="20">
        <v>566</v>
      </c>
      <c r="F78" t="s" s="20">
        <v>207</v>
      </c>
      <c r="G78" t="s" s="16">
        <v>146</v>
      </c>
      <c r="H78" t="s" s="16">
        <v>567</v>
      </c>
      <c r="I78" t="s" s="16">
        <v>568</v>
      </c>
      <c r="J78" t="s" s="16">
        <v>569</v>
      </c>
      <c r="K78" t="s" s="16">
        <v>392</v>
      </c>
      <c r="L78" s="17">
        <f>COUNTIF(言论库!B:B,B78)</f>
        <v/>
      </c>
      <c r="M78" t="s" s="20">
        <v>83</v>
      </c>
      <c r="N78" s="16"/>
    </row>
    <row r="79" ht="28" customHeight="1">
      <c r="A79" s="19">
        <v>77</v>
      </c>
      <c r="B79" t="s" s="19">
        <v>570</v>
      </c>
      <c r="C79" s="19"/>
      <c r="D79" t="s" s="15">
        <v>571</v>
      </c>
      <c r="E79" t="s" s="19">
        <v>572</v>
      </c>
      <c r="F79" t="s" s="19">
        <v>56</v>
      </c>
      <c r="G79" t="s" s="15">
        <v>146</v>
      </c>
      <c r="H79" t="s" s="15">
        <v>573</v>
      </c>
      <c r="I79" t="s" s="15">
        <v>574</v>
      </c>
      <c r="J79" t="s" s="15">
        <v>575</v>
      </c>
      <c r="K79" t="s" s="15">
        <v>576</v>
      </c>
      <c r="L79" s="17">
        <f>COUNTIF(言论库!B:B,B79)</f>
        <v/>
      </c>
      <c r="M79" t="s" s="18">
        <v>24</v>
      </c>
      <c r="N79" t="s" s="15">
        <v>577</v>
      </c>
    </row>
    <row r="80" ht="28" customHeight="1">
      <c r="A80" s="20">
        <v>78</v>
      </c>
      <c r="B80" t="s" s="20">
        <v>578</v>
      </c>
      <c r="C80" s="20"/>
      <c r="D80" t="s" s="16">
        <v>579</v>
      </c>
      <c r="E80" t="s" s="20">
        <v>580</v>
      </c>
      <c r="F80" t="s" s="20">
        <v>18</v>
      </c>
      <c r="G80" t="s" s="16">
        <v>146</v>
      </c>
      <c r="H80" t="s" s="16">
        <v>581</v>
      </c>
      <c r="I80" t="s" s="16">
        <v>582</v>
      </c>
      <c r="J80" t="s" s="16">
        <v>583</v>
      </c>
      <c r="K80" t="s" s="16">
        <v>378</v>
      </c>
      <c r="L80" s="17">
        <f>COUNTIF(言论库!B:B,B80)</f>
        <v/>
      </c>
      <c r="M80" t="s" s="21">
        <v>24</v>
      </c>
      <c r="N80" s="16"/>
    </row>
    <row r="81" ht="28" customHeight="1">
      <c r="A81" s="19">
        <v>79</v>
      </c>
      <c r="B81" t="s" s="19">
        <v>584</v>
      </c>
      <c r="C81" s="19"/>
      <c r="D81" t="s" s="15">
        <v>585</v>
      </c>
      <c r="E81" t="s" s="19">
        <v>586</v>
      </c>
      <c r="F81" t="s" s="19">
        <v>499</v>
      </c>
      <c r="G81" t="s" s="15">
        <v>146</v>
      </c>
      <c r="H81" t="s" s="15">
        <v>587</v>
      </c>
      <c r="I81" t="s" s="15">
        <v>588</v>
      </c>
      <c r="J81" t="s" s="15">
        <v>589</v>
      </c>
      <c r="K81" t="s" s="15">
        <v>590</v>
      </c>
      <c r="L81" s="17">
        <f>COUNTIF(言论库!B:B,B81)</f>
        <v/>
      </c>
      <c r="M81" t="s" s="19">
        <v>83</v>
      </c>
      <c r="N81" t="s" s="15">
        <v>591</v>
      </c>
    </row>
    <row r="82" ht="28" customHeight="1">
      <c r="A82" s="20">
        <v>80</v>
      </c>
      <c r="B82" t="s" s="20">
        <v>592</v>
      </c>
      <c r="C82" t="s" s="20">
        <v>593</v>
      </c>
      <c r="D82" t="s" s="16">
        <v>594</v>
      </c>
      <c r="E82" t="s" s="20">
        <v>595</v>
      </c>
      <c r="F82" t="s" s="20">
        <v>87</v>
      </c>
      <c r="G82" t="s" s="16">
        <v>146</v>
      </c>
      <c r="H82" t="s" s="16">
        <v>596</v>
      </c>
      <c r="I82" t="s" s="16">
        <v>597</v>
      </c>
      <c r="J82" t="s" s="16">
        <v>598</v>
      </c>
      <c r="K82" t="s" s="16">
        <v>315</v>
      </c>
      <c r="L82" s="17">
        <f>COUNTIF(言论库!B:B,B82)</f>
        <v/>
      </c>
      <c r="M82" t="s" s="20">
        <v>308</v>
      </c>
      <c r="N82" t="s" s="16">
        <v>599</v>
      </c>
    </row>
    <row r="83" ht="28" customHeight="1">
      <c r="A83" s="19">
        <v>81</v>
      </c>
      <c r="B83" t="s" s="19">
        <v>600</v>
      </c>
      <c r="C83" s="19"/>
      <c r="D83" t="s" s="15">
        <v>601</v>
      </c>
      <c r="E83" t="s" s="19">
        <v>602</v>
      </c>
      <c r="F83" t="s" s="19">
        <v>87</v>
      </c>
      <c r="G83" t="s" s="15">
        <v>146</v>
      </c>
      <c r="H83" t="s" s="15">
        <v>603</v>
      </c>
      <c r="I83" t="s" s="15">
        <v>604</v>
      </c>
      <c r="J83" t="s" s="15">
        <v>605</v>
      </c>
      <c r="K83" t="s" s="15">
        <v>606</v>
      </c>
      <c r="L83" s="17">
        <f>COUNTIF(言论库!B:B,B83)</f>
        <v/>
      </c>
      <c r="M83" t="s" s="19">
        <v>83</v>
      </c>
      <c r="N83" s="15"/>
    </row>
    <row r="84" ht="28" customHeight="1">
      <c r="A84" s="20">
        <v>82</v>
      </c>
      <c r="B84" t="s" s="20">
        <v>607</v>
      </c>
      <c r="C84" s="20"/>
      <c r="D84" t="s" s="16">
        <v>608</v>
      </c>
      <c r="E84" t="s" s="20">
        <v>609</v>
      </c>
      <c r="F84" t="s" s="20">
        <v>56</v>
      </c>
      <c r="G84" t="s" s="16">
        <v>146</v>
      </c>
      <c r="H84" t="s" s="16">
        <v>610</v>
      </c>
      <c r="I84" t="s" s="16">
        <v>611</v>
      </c>
      <c r="J84" t="s" s="16">
        <v>612</v>
      </c>
      <c r="K84" t="s" s="16">
        <v>606</v>
      </c>
      <c r="L84" s="17">
        <f>COUNTIF(言论库!B:B,B84)</f>
        <v/>
      </c>
      <c r="M84" t="s" s="20">
        <v>83</v>
      </c>
      <c r="N84" t="s" s="16">
        <v>613</v>
      </c>
    </row>
    <row r="85" ht="28" customHeight="1">
      <c r="A85" s="19">
        <v>83</v>
      </c>
      <c r="B85" t="s" s="19">
        <v>614</v>
      </c>
      <c r="C85" t="s" s="19">
        <v>615</v>
      </c>
      <c r="D85" t="s" s="15">
        <v>616</v>
      </c>
      <c r="E85" t="s" s="19">
        <v>617</v>
      </c>
      <c r="F85" t="s" s="19">
        <v>18</v>
      </c>
      <c r="G85" t="s" s="15">
        <v>146</v>
      </c>
      <c r="H85" t="s" s="15">
        <v>618</v>
      </c>
      <c r="I85" t="s" s="15">
        <v>619</v>
      </c>
      <c r="J85" t="s" s="15">
        <v>620</v>
      </c>
      <c r="K85" t="s" s="15">
        <v>621</v>
      </c>
      <c r="L85" s="17">
        <f>COUNTIF(言论库!B:B,B85)</f>
        <v/>
      </c>
      <c r="M85" t="s" s="19">
        <v>83</v>
      </c>
      <c r="N85" s="15"/>
    </row>
  </sheetData>
  <mergeCells count="1">
    <mergeCell ref="A1:N1"/>
  </mergeCells>
  <dataValidations count="3">
    <dataValidation type="list" allowBlank="1" showInputMessage="1" showErrorMessage="1" sqref="F3:F85">
      <formula1>"AI领军,技术大神,学者,芯片硬件,投资圈,机器人,巨头掌门,AI应用"</formula1>
    </dataValidation>
    <dataValidation type="list" allowBlank="1" showInputMessage="1" showErrorMessage="1" sqref="G3:G85">
      <formula1>"国内,海外"</formula1>
    </dataValidation>
    <dataValidation type="list" allowBlank="1" showInputMessage="1" showErrorMessage="1" sqref="L3:L85">
      <formula1>"高,中,低"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xmlns:x14ac="http://schemas.microsoft.com/office/spreadsheetml/2009/9/ac" defaultRowHeight="15" x14ac:dyDescent="0.25"/>
  <cols>
    <col min="1" max="1" width="6" customWidth="1"/>
    <col min="2" max="2" width="10" customWidth="1"/>
    <col min="3" max="3" width="11" customWidth="1"/>
    <col min="4" max="4" width="46" customWidth="1"/>
    <col min="5" max="5" width="11" customWidth="1"/>
    <col min="6" max="6" width="28" customWidth="1"/>
    <col min="7" max="7" width="10" customWidth="1"/>
    <col min="8" max="8" width="13" customWidth="1"/>
  </cols>
  <sheetData>
    <row r="1" ht="34" customHeight="1">
      <c r="A1" t="s" s="13">
        <v>622</v>
      </c>
    </row>
    <row r="2" ht="26" customHeight="1">
      <c r="A2" t="s" s="14">
        <v>1</v>
      </c>
      <c r="B2" t="s" s="14">
        <v>623</v>
      </c>
      <c r="C2" t="s" s="14">
        <v>6</v>
      </c>
      <c r="D2" t="s" s="14">
        <v>624</v>
      </c>
      <c r="E2" t="s" s="14">
        <v>625</v>
      </c>
      <c r="F2" t="s" s="14">
        <v>626</v>
      </c>
      <c r="G2" t="s" s="14">
        <v>627</v>
      </c>
      <c r="H2" t="s" s="14">
        <v>628</v>
      </c>
    </row>
    <row r="3" ht="26" customHeight="1">
      <c r="A3" s="19">
        <v>1</v>
      </c>
      <c r="B3" t="s" s="19">
        <v>15</v>
      </c>
      <c r="C3" t="s" s="19">
        <v>18</v>
      </c>
      <c r="D3" t="s" s="15">
        <v>629</v>
      </c>
      <c r="E3" t="s" s="19">
        <v>630</v>
      </c>
      <c r="F3" t="s" s="15">
        <v>631</v>
      </c>
      <c r="G3" t="s" s="19">
        <v>632</v>
      </c>
      <c r="H3" t="s" s="19">
        <v>633</v>
      </c>
    </row>
    <row r="4" ht="26" customHeight="1">
      <c r="A4" s="20">
        <v>2</v>
      </c>
      <c r="B4" t="s" s="20">
        <v>15</v>
      </c>
      <c r="C4" t="s" s="20">
        <v>18</v>
      </c>
      <c r="D4" t="s" s="16">
        <v>634</v>
      </c>
      <c r="E4" t="s" s="20">
        <v>630</v>
      </c>
      <c r="F4" t="s" s="16">
        <v>635</v>
      </c>
      <c r="G4" t="s" s="20">
        <v>636</v>
      </c>
      <c r="H4" t="s" s="20">
        <v>637</v>
      </c>
    </row>
    <row r="5" ht="26" customHeight="1">
      <c r="A5" s="19">
        <v>3</v>
      </c>
      <c r="B5" t="s" s="19">
        <v>25</v>
      </c>
      <c r="C5" t="s" s="19">
        <v>18</v>
      </c>
      <c r="D5" t="s" s="15">
        <v>638</v>
      </c>
      <c r="E5" t="s" s="19">
        <v>639</v>
      </c>
      <c r="F5" t="s" s="15">
        <v>640</v>
      </c>
      <c r="G5" t="s" s="19">
        <v>641</v>
      </c>
      <c r="H5" t="s" s="19">
        <v>642</v>
      </c>
    </row>
    <row r="6" ht="26" customHeight="1">
      <c r="A6" s="20">
        <v>4</v>
      </c>
      <c r="B6" t="s" s="20">
        <v>25</v>
      </c>
      <c r="C6" t="s" s="20">
        <v>18</v>
      </c>
      <c r="D6" t="s" s="16">
        <v>643</v>
      </c>
      <c r="E6" t="s" s="20">
        <v>630</v>
      </c>
      <c r="F6" t="s" s="16">
        <v>644</v>
      </c>
      <c r="G6" t="s" s="20">
        <v>645</v>
      </c>
      <c r="H6" t="s" s="20">
        <v>646</v>
      </c>
    </row>
    <row r="7" ht="26" customHeight="1">
      <c r="A7" s="19">
        <v>5</v>
      </c>
      <c r="B7" t="s" s="19">
        <v>32</v>
      </c>
      <c r="C7" t="s" s="19">
        <v>18</v>
      </c>
      <c r="D7" t="s" s="15">
        <v>647</v>
      </c>
      <c r="E7" t="s" s="19">
        <v>630</v>
      </c>
      <c r="F7" t="s" s="15">
        <v>648</v>
      </c>
      <c r="G7" t="s" s="19">
        <v>649</v>
      </c>
      <c r="H7" t="s" s="19">
        <v>650</v>
      </c>
    </row>
    <row r="8" ht="26" customHeight="1">
      <c r="A8" s="20">
        <v>6</v>
      </c>
      <c r="B8" t="s" s="20">
        <v>32</v>
      </c>
      <c r="C8" t="s" s="20">
        <v>18</v>
      </c>
      <c r="D8" t="s" s="16">
        <v>651</v>
      </c>
      <c r="E8" t="s" s="20">
        <v>630</v>
      </c>
      <c r="F8" t="s" s="16">
        <v>652</v>
      </c>
      <c r="G8" t="s" s="20">
        <v>653</v>
      </c>
      <c r="H8" t="s" s="20">
        <v>654</v>
      </c>
    </row>
    <row r="9" ht="26" customHeight="1">
      <c r="A9" s="19">
        <v>7</v>
      </c>
      <c r="B9" t="s" s="19">
        <v>39</v>
      </c>
      <c r="C9" t="s" s="19">
        <v>18</v>
      </c>
      <c r="D9" t="s" s="15">
        <v>655</v>
      </c>
      <c r="E9" t="s" s="19">
        <v>630</v>
      </c>
      <c r="F9" t="s" s="15">
        <v>652</v>
      </c>
      <c r="G9" t="s" s="19">
        <v>653</v>
      </c>
      <c r="H9" t="s" s="19">
        <v>654</v>
      </c>
    </row>
    <row r="10" ht="26" customHeight="1">
      <c r="A10" s="20">
        <v>8</v>
      </c>
      <c r="B10" t="s" s="20">
        <v>39</v>
      </c>
      <c r="C10" t="s" s="20">
        <v>18</v>
      </c>
      <c r="D10" t="s" s="16">
        <v>656</v>
      </c>
      <c r="E10" t="s" s="20">
        <v>630</v>
      </c>
      <c r="F10" t="s" s="16">
        <v>657</v>
      </c>
      <c r="G10" t="s" s="20">
        <v>649</v>
      </c>
      <c r="H10" t="s" s="20">
        <v>658</v>
      </c>
    </row>
    <row r="11" ht="26" customHeight="1">
      <c r="A11" s="19">
        <v>9</v>
      </c>
      <c r="B11" t="s" s="19">
        <v>46</v>
      </c>
      <c r="C11" t="s" s="19">
        <v>18</v>
      </c>
      <c r="D11" t="s" s="15">
        <v>659</v>
      </c>
      <c r="E11" t="s" s="19">
        <v>630</v>
      </c>
      <c r="F11" t="s" s="15">
        <v>660</v>
      </c>
      <c r="G11" t="s" s="19">
        <v>661</v>
      </c>
      <c r="H11" t="s" s="19">
        <v>662</v>
      </c>
    </row>
    <row r="12" ht="26" customHeight="1">
      <c r="A12" s="20">
        <v>10</v>
      </c>
      <c r="B12" t="s" s="20">
        <v>53</v>
      </c>
      <c r="C12" t="s" s="20">
        <v>56</v>
      </c>
      <c r="D12" t="s" s="16">
        <v>663</v>
      </c>
      <c r="E12" t="s" s="20">
        <v>630</v>
      </c>
      <c r="F12" t="s" s="16">
        <v>664</v>
      </c>
      <c r="G12" t="s" s="20">
        <v>665</v>
      </c>
      <c r="H12" t="s" s="20">
        <v>666</v>
      </c>
    </row>
    <row r="13" ht="26" customHeight="1">
      <c r="A13" s="19">
        <v>11</v>
      </c>
      <c r="B13" t="s" s="19">
        <v>53</v>
      </c>
      <c r="C13" t="s" s="19">
        <v>56</v>
      </c>
      <c r="D13" t="s" s="15">
        <v>667</v>
      </c>
      <c r="E13" t="s" s="19">
        <v>630</v>
      </c>
      <c r="F13" t="s" s="15">
        <v>668</v>
      </c>
      <c r="G13" t="s" s="19">
        <v>669</v>
      </c>
      <c r="H13" t="s" s="19">
        <v>662</v>
      </c>
    </row>
    <row r="14" ht="26" customHeight="1">
      <c r="A14" s="20">
        <v>12</v>
      </c>
      <c r="B14" t="s" s="20">
        <v>61</v>
      </c>
      <c r="C14" t="s" s="20">
        <v>56</v>
      </c>
      <c r="D14" t="s" s="16">
        <v>670</v>
      </c>
      <c r="E14" t="s" s="20">
        <v>630</v>
      </c>
      <c r="F14" t="s" s="16">
        <v>671</v>
      </c>
      <c r="G14" t="s" s="20">
        <v>653</v>
      </c>
      <c r="H14" t="s" s="20">
        <v>672</v>
      </c>
    </row>
    <row r="15" ht="26" customHeight="1">
      <c r="A15" s="19">
        <v>13</v>
      </c>
      <c r="B15" t="s" s="19">
        <v>61</v>
      </c>
      <c r="C15" t="s" s="19">
        <v>56</v>
      </c>
      <c r="D15" t="s" s="15">
        <v>673</v>
      </c>
      <c r="E15" t="s" s="19">
        <v>630</v>
      </c>
      <c r="F15" t="s" s="15">
        <v>674</v>
      </c>
      <c r="G15" t="s" s="19">
        <v>653</v>
      </c>
      <c r="H15" t="s" s="19">
        <v>675</v>
      </c>
    </row>
    <row r="16" ht="26" customHeight="1">
      <c r="A16" s="20">
        <v>14</v>
      </c>
      <c r="B16" t="s" s="20">
        <v>68</v>
      </c>
      <c r="C16" t="s" s="20">
        <v>56</v>
      </c>
      <c r="D16" t="s" s="16">
        <v>676</v>
      </c>
      <c r="E16" t="s" s="20">
        <v>630</v>
      </c>
      <c r="F16" t="s" s="16">
        <v>677</v>
      </c>
      <c r="G16" t="s" s="20">
        <v>661</v>
      </c>
      <c r="H16" t="s" s="20">
        <v>678</v>
      </c>
    </row>
    <row r="17" ht="26" customHeight="1">
      <c r="A17" s="19">
        <v>15</v>
      </c>
      <c r="B17" t="s" s="19">
        <v>68</v>
      </c>
      <c r="C17" t="s" s="19">
        <v>56</v>
      </c>
      <c r="D17" t="s" s="15">
        <v>679</v>
      </c>
      <c r="E17" t="s" s="19">
        <v>630</v>
      </c>
      <c r="F17" t="s" s="15">
        <v>680</v>
      </c>
      <c r="G17" t="s" s="19">
        <v>681</v>
      </c>
      <c r="H17" t="s" s="19">
        <v>642</v>
      </c>
    </row>
    <row r="18" ht="26" customHeight="1">
      <c r="A18" s="20">
        <v>16</v>
      </c>
      <c r="B18" t="s" s="20">
        <v>76</v>
      </c>
      <c r="C18" t="s" s="20">
        <v>56</v>
      </c>
      <c r="D18" t="s" s="16">
        <v>682</v>
      </c>
      <c r="E18" t="s" s="20">
        <v>630</v>
      </c>
      <c r="F18" t="s" s="16">
        <v>683</v>
      </c>
      <c r="G18" t="s" s="20">
        <v>636</v>
      </c>
      <c r="H18" t="s" s="20">
        <v>684</v>
      </c>
    </row>
    <row r="19" ht="26" customHeight="1">
      <c r="A19" s="19">
        <v>17</v>
      </c>
      <c r="B19" t="s" s="19">
        <v>84</v>
      </c>
      <c r="C19" t="s" s="19">
        <v>87</v>
      </c>
      <c r="D19" t="s" s="15">
        <v>685</v>
      </c>
      <c r="E19" t="s" s="19">
        <v>630</v>
      </c>
      <c r="F19" t="s" s="15">
        <v>686</v>
      </c>
      <c r="G19" t="s" s="19">
        <v>687</v>
      </c>
      <c r="H19" t="s" s="19">
        <v>672</v>
      </c>
    </row>
    <row r="20" ht="26" customHeight="1">
      <c r="A20" s="20">
        <v>18</v>
      </c>
      <c r="B20" t="s" s="20">
        <v>92</v>
      </c>
      <c r="C20" t="s" s="20">
        <v>87</v>
      </c>
      <c r="D20" t="s" s="16">
        <v>688</v>
      </c>
      <c r="E20" t="s" s="20">
        <v>639</v>
      </c>
      <c r="F20" t="s" s="16">
        <v>689</v>
      </c>
      <c r="G20" t="s" s="20">
        <v>690</v>
      </c>
      <c r="H20" t="s" s="20">
        <v>666</v>
      </c>
    </row>
    <row r="21" ht="26" customHeight="1">
      <c r="A21" s="19">
        <v>19</v>
      </c>
      <c r="B21" t="s" s="19">
        <v>99</v>
      </c>
      <c r="C21" t="s" s="19">
        <v>102</v>
      </c>
      <c r="D21" t="s" s="15">
        <v>691</v>
      </c>
      <c r="E21" t="s" s="19">
        <v>639</v>
      </c>
      <c r="F21" t="s" s="15">
        <v>692</v>
      </c>
      <c r="G21" t="s" s="19">
        <v>693</v>
      </c>
      <c r="H21" t="s" s="19">
        <v>694</v>
      </c>
    </row>
    <row r="22" ht="26" customHeight="1">
      <c r="A22" s="20">
        <v>20</v>
      </c>
      <c r="B22" t="s" s="20">
        <v>99</v>
      </c>
      <c r="C22" t="s" s="20">
        <v>102</v>
      </c>
      <c r="D22" t="s" s="16">
        <v>695</v>
      </c>
      <c r="E22" t="s" s="20">
        <v>630</v>
      </c>
      <c r="F22" t="s" s="16">
        <v>696</v>
      </c>
      <c r="G22" t="s" s="20">
        <v>697</v>
      </c>
      <c r="H22" t="s" s="20">
        <v>698</v>
      </c>
    </row>
    <row r="23" ht="26" customHeight="1">
      <c r="A23" s="19">
        <v>21</v>
      </c>
      <c r="B23" t="s" s="19">
        <v>107</v>
      </c>
      <c r="C23" t="s" s="19">
        <v>18</v>
      </c>
      <c r="D23" t="s" s="15">
        <v>699</v>
      </c>
      <c r="E23" t="s" s="19">
        <v>639</v>
      </c>
      <c r="F23" t="s" s="15">
        <v>700</v>
      </c>
      <c r="G23" t="s" s="19">
        <v>701</v>
      </c>
      <c r="H23" t="s" s="19">
        <v>702</v>
      </c>
    </row>
    <row r="24" ht="26" customHeight="1">
      <c r="A24" s="20">
        <v>22</v>
      </c>
      <c r="B24" t="s" s="20">
        <v>121</v>
      </c>
      <c r="C24" t="s" s="20">
        <v>124</v>
      </c>
      <c r="D24" t="s" s="16">
        <v>703</v>
      </c>
      <c r="E24" t="s" s="20">
        <v>630</v>
      </c>
      <c r="F24" t="s" s="16">
        <v>704</v>
      </c>
      <c r="G24" t="s" s="20">
        <v>705</v>
      </c>
      <c r="H24" t="s" s="20">
        <v>706</v>
      </c>
    </row>
    <row r="25" ht="26" customHeight="1">
      <c r="A25" s="19">
        <v>23</v>
      </c>
      <c r="B25" t="s" s="19">
        <v>129</v>
      </c>
      <c r="C25" t="s" s="19">
        <v>124</v>
      </c>
      <c r="D25" t="s" s="15">
        <v>707</v>
      </c>
      <c r="E25" t="s" s="19">
        <v>630</v>
      </c>
      <c r="F25" t="s" s="15">
        <v>708</v>
      </c>
      <c r="G25" t="s" s="19">
        <v>709</v>
      </c>
      <c r="H25" t="s" s="19">
        <v>710</v>
      </c>
    </row>
    <row r="26" ht="26" customHeight="1">
      <c r="A26" s="20">
        <v>24</v>
      </c>
      <c r="B26" t="s" s="20">
        <v>136</v>
      </c>
      <c r="C26" t="s" s="20">
        <v>124</v>
      </c>
      <c r="D26" t="s" s="16">
        <v>711</v>
      </c>
      <c r="E26" t="s" s="20">
        <v>630</v>
      </c>
      <c r="F26" t="s" s="16">
        <v>712</v>
      </c>
      <c r="G26" t="s" s="20">
        <v>713</v>
      </c>
      <c r="H26" t="s" s="20">
        <v>714</v>
      </c>
    </row>
    <row r="27" ht="26" customHeight="1">
      <c r="A27" s="19">
        <v>25</v>
      </c>
      <c r="B27" t="s" s="19">
        <v>143</v>
      </c>
      <c r="C27" t="s" s="19">
        <v>124</v>
      </c>
      <c r="D27" t="s" s="15">
        <v>715</v>
      </c>
      <c r="E27" t="s" s="19">
        <v>630</v>
      </c>
      <c r="F27" t="s" s="15">
        <v>652</v>
      </c>
      <c r="G27" t="s" s="19">
        <v>653</v>
      </c>
      <c r="H27" t="s" s="19">
        <v>716</v>
      </c>
    </row>
    <row r="28" ht="26" customHeight="1">
      <c r="A28" s="20">
        <v>26</v>
      </c>
      <c r="B28" t="s" s="20">
        <v>151</v>
      </c>
      <c r="C28" t="s" s="20">
        <v>18</v>
      </c>
      <c r="D28" t="s" s="16">
        <v>717</v>
      </c>
      <c r="E28" t="s" s="20">
        <v>630</v>
      </c>
      <c r="F28" t="s" s="16">
        <v>718</v>
      </c>
      <c r="G28" t="s" s="20">
        <v>719</v>
      </c>
      <c r="H28" t="s" s="20">
        <v>720</v>
      </c>
    </row>
    <row r="29" ht="26" customHeight="1">
      <c r="A29" s="19">
        <v>27</v>
      </c>
      <c r="B29" t="s" s="19">
        <v>151</v>
      </c>
      <c r="C29" t="s" s="19">
        <v>18</v>
      </c>
      <c r="D29" t="s" s="15">
        <v>721</v>
      </c>
      <c r="E29" t="s" s="19">
        <v>630</v>
      </c>
      <c r="F29" t="s" s="15">
        <v>718</v>
      </c>
      <c r="G29" t="s" s="19">
        <v>719</v>
      </c>
      <c r="H29" t="s" s="19">
        <v>722</v>
      </c>
    </row>
    <row r="30" ht="26" customHeight="1">
      <c r="A30" s="20">
        <v>28</v>
      </c>
      <c r="B30" t="s" s="20">
        <v>159</v>
      </c>
      <c r="C30" t="s" s="20">
        <v>18</v>
      </c>
      <c r="D30" t="s" s="16">
        <v>723</v>
      </c>
      <c r="E30" t="s" s="20">
        <v>630</v>
      </c>
      <c r="F30" t="s" s="16">
        <v>652</v>
      </c>
      <c r="G30" t="s" s="20">
        <v>653</v>
      </c>
      <c r="H30" t="s" s="20">
        <v>672</v>
      </c>
    </row>
    <row r="31" ht="26" customHeight="1">
      <c r="A31" s="19">
        <v>29</v>
      </c>
      <c r="B31" t="s" s="19">
        <v>173</v>
      </c>
      <c r="C31" t="s" s="19">
        <v>18</v>
      </c>
      <c r="D31" t="s" s="15">
        <v>724</v>
      </c>
      <c r="E31" t="s" s="19">
        <v>630</v>
      </c>
      <c r="F31" t="s" s="15">
        <v>725</v>
      </c>
      <c r="G31" t="s" s="19">
        <v>726</v>
      </c>
      <c r="H31" t="s" s="19">
        <v>727</v>
      </c>
    </row>
    <row r="32" ht="26" customHeight="1">
      <c r="A32" s="20">
        <v>30</v>
      </c>
      <c r="B32" t="s" s="20">
        <v>188</v>
      </c>
      <c r="C32" t="s" s="20">
        <v>124</v>
      </c>
      <c r="D32" t="s" s="16">
        <v>728</v>
      </c>
      <c r="E32" t="s" s="20">
        <v>630</v>
      </c>
      <c r="F32" t="s" s="16">
        <v>729</v>
      </c>
      <c r="G32" t="s" s="20">
        <v>653</v>
      </c>
      <c r="H32" t="s" s="20">
        <v>730</v>
      </c>
    </row>
    <row r="33" ht="26" customHeight="1">
      <c r="A33" s="19">
        <v>31</v>
      </c>
      <c r="B33" t="s" s="19">
        <v>196</v>
      </c>
      <c r="C33" t="s" s="19">
        <v>199</v>
      </c>
      <c r="D33" t="s" s="15">
        <v>731</v>
      </c>
      <c r="E33" t="s" s="19">
        <v>630</v>
      </c>
      <c r="F33" t="s" s="15">
        <v>732</v>
      </c>
      <c r="G33" t="s" s="19">
        <v>709</v>
      </c>
      <c r="H33" t="s" s="19">
        <v>733</v>
      </c>
    </row>
  </sheetData>
  <mergeCells count="1">
    <mergeCell ref="A1:H1"/>
  </mergeCells>
  <dataValidations count="3">
    <dataValidation type="list" allowBlank="1" showInputMessage="1" showErrorMessage="1" sqref="B3:B500">
      <formula1>PersonNames</formula1>
    </dataValidation>
    <dataValidation type="list" allowBlank="1" showInputMessage="1" showErrorMessage="1" sqref="C3:C500">
      <formula1>"AI领军,技术大神,学者,芯片硬件,投资圈,机器人,巨头掌门,AI应用"</formula1>
    </dataValidation>
    <dataValidation type="list" allowBlank="1" showInputMessage="1" showErrorMessage="1" sqref="E3:E500">
      <formula1>"意译(中),原文(英),原文(中)"</formula1>
    </dataValidation>
  </dataValidations>
  <pageMargins left="0.7" right="0.7" top="0.75" bottom="0.75" header="0.3" footer="0.3"/>
</worksheet>
</file>